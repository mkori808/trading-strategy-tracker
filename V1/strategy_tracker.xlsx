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y Trading" sheetId="2" state="visible" r:id="rId2"/>
    <sheet xmlns:r="http://schemas.openxmlformats.org/officeDocument/2006/relationships" name="Swing Trading" sheetId="3" state="visible" r:id="rId3"/>
    <sheet xmlns:r="http://schemas.openxmlformats.org/officeDocument/2006/relationships" name="Shortlist" sheetId="4" state="visible" r:id="rId4"/>
    <sheet xmlns:r="http://schemas.openxmlformats.org/officeDocument/2006/relationships" name="Experiment Histo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0.0%"/>
    <numFmt numFmtId="166" formatCode="yyyy-mm-dd h:mm:ss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3"/>
    </font>
    <font>
      <name val="Arial"/>
      <charset val="1"/>
      <family val="0"/>
      <i val="1"/>
      <color rgb="FF666666"/>
      <sz val="9"/>
    </font>
    <font>
      <b val="1"/>
      <sz val="14"/>
    </font>
    <font>
      <i val="1"/>
      <color rgb="FF555555"/>
    </font>
    <font>
      <b val="1"/>
      <sz val="12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164" fontId="8" fillId="3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165" fontId="8" fillId="0" borderId="1" applyAlignment="1" pivotButton="0" quotePrefix="0" xfId="0">
      <alignment horizontal="general" vertical="center" wrapText="1"/>
    </xf>
    <xf numFmtId="2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164" fontId="8" fillId="3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165" fontId="8" fillId="0" borderId="1" applyAlignment="1" pivotButton="0" quotePrefix="0" xfId="0">
      <alignment horizontal="general" vertical="center" wrapText="1"/>
    </xf>
    <xf numFmtId="2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164" fontId="0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165" fontId="8" fillId="0" borderId="0" pivotButton="0" quotePrefix="0" xfId="0"/>
    <xf numFmtId="2" fontId="8" fillId="0" borderId="0" pivotButton="0" quotePrefix="0" xfId="0"/>
    <xf numFmtId="0" fontId="8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wrapText="1"/>
    </xf>
    <xf numFmtId="0" fontId="14" fillId="5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5" min="1" max="1"/>
  </cols>
  <sheetData>
    <row r="1" ht="21.75" customHeight="1" s="16">
      <c r="A1" s="17" t="inlineStr">
        <is>
          <t>Strategy Backtest Tracker</t>
        </is>
      </c>
    </row>
    <row r="2" ht="15.75" customHeight="1" s="16">
      <c r="A2" s="18" t="n"/>
    </row>
    <row r="3" ht="21.75" customHeight="1" s="16">
      <c r="A3" s="19" t="inlineStr">
        <is>
          <t>How to use this workbook</t>
        </is>
      </c>
    </row>
    <row r="4" ht="15.75" customHeight="1" s="16">
      <c r="A4" s="18" t="inlineStr">
        <is>
          <t>1. Go to the 'Day Trading' or 'Swing Trading' tab.</t>
        </is>
      </c>
    </row>
    <row r="5" ht="15.75" customHeight="1" s="16">
      <c r="A5" s="18" t="inlineStr">
        <is>
          <t>2. Fill in the YELLOW cells only, for each strategy, as you paper-trade or backtest it:</t>
        </is>
      </c>
    </row>
    <row r="6" ht="15.75" customHeight="1" s="16">
      <c r="A6" s="18" t="inlineStr">
        <is>
          <t xml:space="preserve">     - Trades Taken, Wins, Avg Win ($ or R), Avg Loss ($ or R), Start Date, End Date, Notes</t>
        </is>
      </c>
    </row>
    <row r="7" ht="15.75" customHeight="1" s="16">
      <c r="A7" s="18" t="inlineStr">
        <is>
          <t>3. Everything else (Win Rate, Loss Rate, Expectancy, Profit Factor, Status) calculates automatically.</t>
        </is>
      </c>
    </row>
    <row r="8" ht="15.75" customHeight="1" s="16">
      <c r="A8" s="18" t="inlineStr">
        <is>
          <t>4. Use the 'Shortlist' tab to pull your top candidates once you have real numbers, ranked by Expectancy.</t>
        </is>
      </c>
    </row>
    <row r="9" ht="15.75" customHeight="1" s="16">
      <c r="A9" s="18" t="n"/>
    </row>
    <row r="10" ht="21.75" customHeight="1" s="16">
      <c r="A10" s="19" t="inlineStr">
        <is>
          <t>Definitions</t>
        </is>
      </c>
    </row>
    <row r="11" ht="15.75" customHeight="1" s="16">
      <c r="A11" s="18" t="inlineStr">
        <is>
          <t>Win Rate = Wins / Trades Taken</t>
        </is>
      </c>
    </row>
    <row r="12" ht="15.75" customHeight="1" s="16">
      <c r="A12" s="18" t="inlineStr">
        <is>
          <t>Avg Win / Avg Loss = enter in R-multiples (multiples of your risk per trade) for easiest cross-strategy comparison,</t>
        </is>
      </c>
    </row>
    <row r="13" ht="15.75" customHeight="1" s="16">
      <c r="A13" s="18" t="inlineStr">
        <is>
          <t xml:space="preserve">     or in $ if you prefer -- just be consistent within a strategy row.</t>
        </is>
      </c>
    </row>
    <row r="14" ht="15.75" customHeight="1" s="16">
      <c r="A14" s="18" t="inlineStr">
        <is>
          <t>Expectancy = (Win Rate x Avg Win) - (Loss Rate x Avg Loss)   --&gt;  the average result you expect per trade.</t>
        </is>
      </c>
    </row>
    <row r="15" ht="15.75" customHeight="1" s="16">
      <c r="A15" s="18" t="inlineStr">
        <is>
          <t xml:space="preserve">     A positive expectancy means the strategy made money on average across your sample.</t>
        </is>
      </c>
    </row>
    <row r="16" ht="15.75" customHeight="1" s="16">
      <c r="A16" s="18" t="inlineStr">
        <is>
          <t>Profit Factor = Gross Wins / Gross Losses. Above 1.0 = profitable; most pros target 1.5+.</t>
        </is>
      </c>
    </row>
    <row r="17" ht="15.75" customHeight="1" s="16">
      <c r="A17" s="18" t="inlineStr">
        <is>
          <t>Status = auto-flag based on sample size and expectancy (see Shortlist tab legend).</t>
        </is>
      </c>
    </row>
    <row r="18" ht="15.75" customHeight="1" s="16">
      <c r="A18" s="18" t="n"/>
    </row>
    <row r="19" ht="21.75" customHeight="1" s="16">
      <c r="A19" s="19" t="inlineStr">
        <is>
          <t>A reminder while you fill this in</t>
        </is>
      </c>
    </row>
    <row r="20" ht="15.75" customHeight="1" s="16">
      <c r="A20" s="18" t="inlineStr">
        <is>
          <t>Fewer than ~30 trades is not a reliable sample -- treat early numbers as directional, not conclusive.</t>
        </is>
      </c>
    </row>
    <row r="21" ht="15.75" customHeight="1" s="16">
      <c r="A21" s="18" t="inlineStr">
        <is>
          <t>This tracker reflects YOUR results in YOUR account. Reddit/forum sentiment (included as a starting reference)</t>
        </is>
      </c>
    </row>
    <row r="22" ht="15.75" customHeight="1" s="16">
      <c r="A22" s="18" t="inlineStr">
        <is>
          <t xml:space="preserve">     is anecdotal and survivorship-biased -- it's a starting point for what to test, not proof of an edge.</t>
        </is>
      </c>
    </row>
    <row r="23" ht="15.75" customHeight="1" s="16">
      <c r="A23" s="18" t="inlineStr">
        <is>
          <t>Nothing in this workbook is financial advice.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34" customWidth="1" style="15" min="2" max="2"/>
    <col width="20" customWidth="1" style="15" min="3" max="3"/>
    <col width="10" customWidth="1" style="15" min="4" max="4"/>
    <col width="34" customWidth="1" style="15" min="5" max="5"/>
    <col width="26" customWidth="1" style="15" min="6" max="6"/>
    <col width="14" customWidth="1" style="15" min="7" max="7"/>
    <col width="34" customWidth="1" style="15" min="8" max="8"/>
    <col width="12" customWidth="1" style="15" min="9" max="10"/>
    <col width="11" customWidth="1" style="15" min="11" max="11"/>
    <col width="8" customWidth="1" style="15" min="12" max="13"/>
    <col width="10" customWidth="1" style="15" min="14" max="14"/>
    <col width="12" customWidth="1" style="15" min="15" max="18"/>
    <col width="22" customWidth="1" style="15" min="19" max="19"/>
    <col width="34" customWidth="1" style="15" min="20" max="20"/>
  </cols>
  <sheetData>
    <row r="1" ht="33.75" customHeight="1" s="16">
      <c r="A1" s="20" t="inlineStr">
        <is>
          <t>Strategy</t>
        </is>
      </c>
      <c r="B1" s="20" t="inlineStr">
        <is>
          <t>Description</t>
        </is>
      </c>
      <c r="C1" s="20" t="inlineStr">
        <is>
          <t>Best Market Condition</t>
        </is>
      </c>
      <c r="D1" s="20" t="inlineStr">
        <is>
          <t>Timeframe</t>
        </is>
      </c>
      <c r="E1" s="20" t="inlineStr">
        <is>
          <t>Entry Rule</t>
        </is>
      </c>
      <c r="F1" s="20" t="inlineStr">
        <is>
          <t>Stop Rule</t>
        </is>
      </c>
      <c r="G1" s="20" t="inlineStr">
        <is>
          <t>Community Buzz</t>
        </is>
      </c>
      <c r="H1" s="20" t="inlineStr">
        <is>
          <t>Community Sentiment</t>
        </is>
      </c>
      <c r="I1" s="20" t="inlineStr">
        <is>
          <t>Start Date</t>
        </is>
      </c>
      <c r="J1" s="20" t="inlineStr">
        <is>
          <t>End Date</t>
        </is>
      </c>
      <c r="K1" s="20" t="inlineStr">
        <is>
          <t>Trades Taken</t>
        </is>
      </c>
      <c r="L1" s="20" t="inlineStr">
        <is>
          <t>Wins</t>
        </is>
      </c>
      <c r="M1" s="20" t="inlineStr">
        <is>
          <t>Losses</t>
        </is>
      </c>
      <c r="N1" s="20" t="inlineStr">
        <is>
          <t>Win Rate</t>
        </is>
      </c>
      <c r="O1" s="20" t="inlineStr">
        <is>
          <t>Avg Win (R)</t>
        </is>
      </c>
      <c r="P1" s="20" t="inlineStr">
        <is>
          <t>Avg Loss (R)</t>
        </is>
      </c>
      <c r="Q1" s="20" t="inlineStr">
        <is>
          <t>Expectancy (R)</t>
        </is>
      </c>
      <c r="R1" s="20" t="inlineStr">
        <is>
          <t>Profit Factor</t>
        </is>
      </c>
      <c r="S1" s="20" t="inlineStr">
        <is>
          <t>Status</t>
        </is>
      </c>
      <c r="T1" s="20" t="inlineStr">
        <is>
          <t>Notes</t>
        </is>
      </c>
    </row>
    <row r="2" ht="45.75" customHeight="1" s="16">
      <c r="A2" s="21" t="inlineStr">
        <is>
          <t>Opening Range Breakout (ORB)</t>
        </is>
      </c>
      <c r="B2" s="21" t="inlineStr">
        <is>
          <t>Trade breakout of first 5-30 min range</t>
        </is>
      </c>
      <c r="C2" s="21" t="inlineStr">
        <is>
          <t>Trending days</t>
        </is>
      </c>
      <c r="D2" s="21" t="inlineStr">
        <is>
          <t>1-5 min</t>
        </is>
      </c>
      <c r="E2" s="21" t="inlineStr">
        <is>
          <t>Break of opening range high/low on volume</t>
        </is>
      </c>
      <c r="F2" s="21" t="inlineStr">
        <is>
          <t>Opposite side of range</t>
        </is>
      </c>
      <c r="G2" s="21" t="inlineStr">
        <is>
          <t>Very High</t>
        </is>
      </c>
      <c r="H2" s="21" t="inlineStr">
        <is>
          <t>Widely praised for best reward:risk on trending days</t>
        </is>
      </c>
      <c r="I2" s="22" t="n">
        <v>45491</v>
      </c>
      <c r="J2" s="22" t="n">
        <v>46221</v>
      </c>
      <c r="K2" s="23" t="n">
        <v>6121</v>
      </c>
      <c r="L2" s="23" t="n">
        <v>2824</v>
      </c>
      <c r="M2" s="21">
        <f>IF(K2="","",K2-L2)</f>
        <v/>
      </c>
      <c r="N2" s="24">
        <f>IFERROR(L2/K2,"")</f>
        <v/>
      </c>
      <c r="O2" s="23" t="n">
        <v>1.2935</v>
      </c>
      <c r="P2" s="23" t="n">
        <v>1.1301</v>
      </c>
      <c r="Q2" s="25">
        <f>IFERROR((N2*O2)-((1-N2)*P2),"")</f>
        <v/>
      </c>
      <c r="R2" s="25">
        <f>IFERROR((L2*O2)/(M2*P2),"")</f>
        <v/>
      </c>
      <c r="S2" s="21">
        <f>IF(K2="","Not yet tested",IF(K2&lt;30,"Sample too small (&lt;30 trades)",IF(Q2&lt;=0,"Negative expectancy - drop",IF(Q2&lt;=0.1,"Underperforms cash/benchmark - hold","Positive expectancy - shortlist"))))</f>
        <v/>
      </c>
      <c r="T2" s="23" t="n"/>
    </row>
    <row r="3" ht="45.75" customHeight="1" s="16">
      <c r="A3" s="21" t="inlineStr">
        <is>
          <t>VWAP Bounce / Reversion</t>
        </is>
      </c>
      <c r="B3" s="21" t="inlineStr">
        <is>
          <t>Fade or bounce off volume-weighted avg price</t>
        </is>
      </c>
      <c r="C3" s="21" t="inlineStr">
        <is>
          <t>Range-bound days</t>
        </is>
      </c>
      <c r="D3" s="21" t="inlineStr">
        <is>
          <t>1-5 min</t>
        </is>
      </c>
      <c r="E3" s="21" t="inlineStr">
        <is>
          <t>Price tags VWAP band with reversal candle</t>
        </is>
      </c>
      <c r="F3" s="21" t="inlineStr">
        <is>
          <t>Beyond VWAP band extreme</t>
        </is>
      </c>
      <c r="G3" s="21" t="inlineStr">
        <is>
          <t>High</t>
        </is>
      </c>
      <c r="H3" s="21" t="inlineStr">
        <is>
          <t>Favored by prop-firm traders w/ EOD trailing drawdown rules</t>
        </is>
      </c>
      <c r="I3" s="22" t="n">
        <v>45490</v>
      </c>
      <c r="J3" s="22" t="n">
        <v>46220</v>
      </c>
      <c r="K3" s="23" t="n">
        <v>104672</v>
      </c>
      <c r="L3" s="23" t="n">
        <v>40717</v>
      </c>
      <c r="M3" s="21">
        <f>IF(K3="","",K3-L3)</f>
        <v/>
      </c>
      <c r="N3" s="24">
        <f>IFERROR(L3/K3,"")</f>
        <v/>
      </c>
      <c r="O3" s="23" t="n">
        <v>1.5165</v>
      </c>
      <c r="P3" s="23" t="n">
        <v>1.1406</v>
      </c>
      <c r="Q3" s="25">
        <f>IFERROR((N3*O3)-((1-N3)*P3),"")</f>
        <v/>
      </c>
      <c r="R3" s="25">
        <f>IFERROR((L3*O3)/(M3*P3),"")</f>
        <v/>
      </c>
      <c r="S3" s="21">
        <f>IF(K3="","Not yet tested",IF(K3&lt;30,"Sample too small (&lt;30 trades)",IF(Q3&lt;=0,"Negative expectancy - drop",IF(Q3&lt;=0.1,"Underperforms cash/benchmark - hold","Positive expectancy - shortlist"))))</f>
        <v/>
      </c>
      <c r="T3" s="23" t="n"/>
    </row>
    <row r="4" ht="45.75" customHeight="1" s="16">
      <c r="A4" s="21" t="inlineStr">
        <is>
          <t>Momentum / Gap and Go</t>
        </is>
      </c>
      <c r="B4" s="21" t="inlineStr">
        <is>
          <t>Chase pre-market gappers with volume/news catalyst</t>
        </is>
      </c>
      <c r="C4" s="21" t="inlineStr">
        <is>
          <t>Trending, news-driven days</t>
        </is>
      </c>
      <c r="D4" s="21" t="inlineStr">
        <is>
          <t>1-5 min</t>
        </is>
      </c>
      <c r="E4" s="21" t="inlineStr">
        <is>
          <t>Gap + volume surge continuation after first pullback</t>
        </is>
      </c>
      <c r="F4" s="21" t="inlineStr">
        <is>
          <t>Below pullback low</t>
        </is>
      </c>
      <c r="G4" s="21" t="inlineStr">
        <is>
          <t>Very High</t>
        </is>
      </c>
      <c r="H4" s="21" t="inlineStr">
        <is>
          <t>Popular with beginners; high variance, praised and blamed in equal measure</t>
        </is>
      </c>
      <c r="I4" s="22" t="n">
        <v>46160</v>
      </c>
      <c r="J4" s="22" t="n">
        <v>46219</v>
      </c>
      <c r="K4" s="23" t="n">
        <v>8</v>
      </c>
      <c r="L4" s="23" t="n"/>
      <c r="M4" s="21">
        <f>IF(K4="","",K4-L4)</f>
        <v/>
      </c>
      <c r="N4" s="24">
        <f>IFERROR(L4/K4,"")</f>
        <v/>
      </c>
      <c r="O4" s="23" t="n"/>
      <c r="P4" s="23" t="n"/>
      <c r="Q4" s="25">
        <f>IFERROR((N4*O4)-((1-N4)*P4),"")</f>
        <v/>
      </c>
      <c r="R4" s="25">
        <f>IFERROR((L4*O4)/(M4*P4),"")</f>
        <v/>
      </c>
      <c r="S4" s="21">
        <f>IF(K4="","Not yet tested",IF(K4&lt;30,"Sample too small (&lt;30 trades)",IF(Q4&lt;=0,"Negative expectancy - drop",IF(Q4&lt;=0.1,"Underperforms cash/benchmark - hold","Positive expectancy - shortlist"))))</f>
        <v/>
      </c>
      <c r="T4" s="23" t="n"/>
    </row>
    <row r="5" ht="45.75" customHeight="1" s="16">
      <c r="A5" s="21" t="inlineStr">
        <is>
          <t>Scalping (3-5 min)</t>
        </is>
      </c>
      <c r="B5" s="21" t="inlineStr">
        <is>
          <t>Very short holds, small targets, high frequency</t>
        </is>
      </c>
      <c r="C5" s="21" t="inlineStr">
        <is>
          <t>Any (high liquidity)</t>
        </is>
      </c>
      <c r="D5" s="21" t="inlineStr">
        <is>
          <t>1-5 min</t>
        </is>
      </c>
      <c r="E5" s="21" t="inlineStr">
        <is>
          <t>MACD/EMA9-EMA200/VWAP confluence signal</t>
        </is>
      </c>
      <c r="F5" s="21" t="inlineStr">
        <is>
          <t>Tight, fixed tick/point stop</t>
        </is>
      </c>
      <c r="G5" s="21" t="inlineStr">
        <is>
          <t>Very High</t>
        </is>
      </c>
      <c r="H5" s="21" t="inlineStr">
        <is>
          <t>Named Reddit traders reported ~65-71% win rates with strict risk rules</t>
        </is>
      </c>
      <c r="I5" s="22" t="n">
        <v>46160</v>
      </c>
      <c r="J5" s="22" t="n">
        <v>46219</v>
      </c>
      <c r="K5" s="23" t="n">
        <v>21774</v>
      </c>
      <c r="L5" s="23" t="n">
        <v>8128</v>
      </c>
      <c r="M5" s="21">
        <f>IF(K5="","",K5-L5)</f>
        <v/>
      </c>
      <c r="N5" s="24">
        <f>IFERROR(L5/K5,"")</f>
        <v/>
      </c>
      <c r="O5" s="23" t="n">
        <v>1.3734</v>
      </c>
      <c r="P5" s="23" t="n">
        <v>1.1371</v>
      </c>
      <c r="Q5" s="25">
        <f>IFERROR((N5*O5)-((1-N5)*P5),"")</f>
        <v/>
      </c>
      <c r="R5" s="25">
        <f>IFERROR((L5*O5)/(M5*P5),"")</f>
        <v/>
      </c>
      <c r="S5" s="21">
        <f>IF(K5="","Not yet tested",IF(K5&lt;30,"Sample too small (&lt;30 trades)",IF(Q5&lt;=0,"Negative expectancy - drop",IF(Q5&lt;=0.1,"Underperforms cash/benchmark - hold","Positive expectancy - shortlist"))))</f>
        <v/>
      </c>
      <c r="T5" s="23" t="n"/>
    </row>
    <row r="6" ht="45.75" customHeight="1" s="16">
      <c r="A6" s="21" t="inlineStr">
        <is>
          <t>Mean Reversion Scalp</t>
        </is>
      </c>
      <c r="B6" s="21" t="inlineStr">
        <is>
          <t>Fade RSI extremes back toward VWAP</t>
        </is>
      </c>
      <c r="C6" s="21" t="inlineStr">
        <is>
          <t>Range-bound / choppy days</t>
        </is>
      </c>
      <c r="D6" s="21" t="inlineStr">
        <is>
          <t>1 min</t>
        </is>
      </c>
      <c r="E6" s="21" t="inlineStr">
        <is>
          <t>RSI(2-5) &lt; 10 or &gt; 90 + reversal candle at VWAP extreme</t>
        </is>
      </c>
      <c r="F6" s="21" t="inlineStr">
        <is>
          <t>Beyond the extreme candle</t>
        </is>
      </c>
      <c r="G6" s="21" t="inlineStr">
        <is>
          <t>Medium</t>
        </is>
      </c>
      <c r="H6" s="21" t="inlineStr">
        <is>
          <t>Cited as highest win rate (65-75%) but smallest avg gains</t>
        </is>
      </c>
      <c r="I6" s="22" t="n">
        <v>46160</v>
      </c>
      <c r="J6" s="22" t="n">
        <v>46219</v>
      </c>
      <c r="K6" s="23" t="n">
        <v>419</v>
      </c>
      <c r="L6" s="23" t="n">
        <v>133</v>
      </c>
      <c r="M6" s="21">
        <f>IF(K6="","",K6-L6)</f>
        <v/>
      </c>
      <c r="N6" s="24">
        <f>IFERROR(L6/K6,"")</f>
        <v/>
      </c>
      <c r="O6" s="23" t="n">
        <v>2.184</v>
      </c>
      <c r="P6" s="23" t="n">
        <v>1.1653</v>
      </c>
      <c r="Q6" s="25">
        <f>IFERROR((N6*O6)-((1-N6)*P6),"")</f>
        <v/>
      </c>
      <c r="R6" s="25">
        <f>IFERROR((L6*O6)/(M6*P6),"")</f>
        <v/>
      </c>
      <c r="S6" s="21">
        <f>IF(K6="","Not yet tested",IF(K6&lt;30,"Sample too small (&lt;30 trades)",IF(Q6&lt;=0,"Negative expectancy - drop",IF(Q6&lt;=0.1,"Underperforms cash/benchmark - hold","Positive expectancy - shortlist"))))</f>
        <v/>
      </c>
      <c r="T6" s="23" t="n"/>
    </row>
    <row r="7" ht="45.75" customHeight="1" s="16">
      <c r="A7" s="21" t="inlineStr">
        <is>
          <t>News Fade</t>
        </is>
      </c>
      <c r="B7" s="21" t="inlineStr">
        <is>
          <t>Fade the initial overreaction to news/econ release</t>
        </is>
      </c>
      <c r="C7" s="21" t="inlineStr">
        <is>
          <t>High-impact news days</t>
        </is>
      </c>
      <c r="D7" s="21" t="inlineStr">
        <is>
          <t>1-5 min</t>
        </is>
      </c>
      <c r="E7" s="21" t="inlineStr">
        <is>
          <t>Extreme move on release fails to hold, reversal confirmed</t>
        </is>
      </c>
      <c r="F7" s="21" t="inlineStr">
        <is>
          <t>Beyond the extreme of the spike</t>
        </is>
      </c>
      <c r="G7" s="21" t="inlineStr">
        <is>
          <t>Medium</t>
        </is>
      </c>
      <c r="H7" s="21" t="inlineStr">
        <is>
          <t>Works for experienced order-flow readers; risky for beginners</t>
        </is>
      </c>
      <c r="I7" s="22" t="n">
        <v>46160</v>
      </c>
      <c r="J7" s="22" t="n">
        <v>46219</v>
      </c>
      <c r="K7" s="23" t="n">
        <v>79</v>
      </c>
      <c r="L7" s="23" t="n">
        <v>42</v>
      </c>
      <c r="M7" s="21">
        <f>IF(K7="","",K7-L7)</f>
        <v/>
      </c>
      <c r="N7" s="24">
        <f>IFERROR(L7/K7,"")</f>
        <v/>
      </c>
      <c r="O7" s="23" t="n">
        <v>0.6571</v>
      </c>
      <c r="P7" s="23" t="n">
        <v>0.6412</v>
      </c>
      <c r="Q7" s="25">
        <f>IFERROR((N7*O7)-((1-N7)*P7),"")</f>
        <v/>
      </c>
      <c r="R7" s="25">
        <f>IFERROR((L7*O7)/(M7*P7),"")</f>
        <v/>
      </c>
      <c r="S7" s="21">
        <f>IF(K7="","Not yet tested",IF(K7&lt;30,"Sample too small (&lt;30 trades)",IF(Q7&lt;=0,"Negative expectancy - drop",IF(Q7&lt;=0.1,"Underperforms cash/benchmark - hold","Positive expectancy - shortlist"))))</f>
        <v/>
      </c>
      <c r="T7" s="23" t="n"/>
    </row>
    <row r="8" ht="45.75" customHeight="1" s="16">
      <c r="A8" s="21" t="inlineStr">
        <is>
          <t>Range Trading</t>
        </is>
      </c>
      <c r="B8" s="21" t="inlineStr">
        <is>
          <t>Buy support / sell resistance inside a defined range</t>
        </is>
      </c>
      <c r="C8" s="21" t="inlineStr">
        <is>
          <t>Low-volatility, choppy days</t>
        </is>
      </c>
      <c r="D8" s="21" t="inlineStr">
        <is>
          <t>5-15 min</t>
        </is>
      </c>
      <c r="E8" s="21" t="inlineStr">
        <is>
          <t>Price reaches range boundary with rejection</t>
        </is>
      </c>
      <c r="F8" s="21" t="inlineStr">
        <is>
          <t>Just beyond range boundary</t>
        </is>
      </c>
      <c r="G8" s="21" t="inlineStr">
        <is>
          <t>Medium</t>
        </is>
      </c>
      <c r="H8" s="21" t="inlineStr">
        <is>
          <t>Consistently recommended specifically for low-volume midday session</t>
        </is>
      </c>
      <c r="I8" s="22" t="n">
        <v>46160</v>
      </c>
      <c r="J8" s="22" t="n">
        <v>46219</v>
      </c>
      <c r="K8" s="23" t="n">
        <v>3293</v>
      </c>
      <c r="L8" s="23" t="n">
        <v>874</v>
      </c>
      <c r="M8" s="21">
        <f>IF(K8="","",K8-L8)</f>
        <v/>
      </c>
      <c r="N8" s="24">
        <f>IFERROR(L8/K8,"")</f>
        <v/>
      </c>
      <c r="O8" s="23" t="n">
        <v>3.1544</v>
      </c>
      <c r="P8" s="23" t="n">
        <v>1.2293</v>
      </c>
      <c r="Q8" s="25">
        <f>IFERROR((N8*O8)-((1-N8)*P8),"")</f>
        <v/>
      </c>
      <c r="R8" s="25">
        <f>IFERROR((L8*O8)/(M8*P8),"")</f>
        <v/>
      </c>
      <c r="S8" s="21">
        <f>IF(K8="","Not yet tested",IF(K8&lt;30,"Sample too small (&lt;30 trades)",IF(Q8&lt;=0,"Negative expectancy - drop",IF(Q8&lt;=0.1,"Underperforms cash/benchmark - hold","Positive expectancy - shortlist"))))</f>
        <v/>
      </c>
      <c r="T8" s="23" t="n"/>
    </row>
    <row r="9">
      <c r="A9" s="15" t="inlineStr">
        <is>
          <t>Pivot-Level ETF Reversal</t>
        </is>
      </c>
      <c r="B9" s="15" t="inlineStr">
        <is>
          <t>Fade the first touch of a floor-trader pivot support/resistance and revert toward the daily pivot.</t>
        </is>
      </c>
      <c r="C9" s="15" t="inlineStr">
        <is>
          <t>Range-bound / mean-reverting days</t>
        </is>
      </c>
      <c r="D9" s="15" t="inlineStr">
        <is>
          <t>5-min (daily pivots)</t>
        </is>
      </c>
      <c r="E9" s="15" t="inlineStr">
        <is>
          <t>Floor pivots from prior day H/L/C (P=(H+L+C)/3, S1=2P-H, R1=2P-L). Long when price dips to S1 then a 5-min bar reclaims above it with P overhead; short mirrors at R1. Target = P.</t>
        </is>
      </c>
      <c r="F9" s="15" t="inlineStr">
        <is>
          <t>Long: stop below S2. Short: stop above R2.</t>
        </is>
      </c>
      <c r="I9" s="30" t="n"/>
      <c r="J9" s="30" t="n"/>
      <c r="K9" s="31" t="n"/>
      <c r="L9" s="31" t="n"/>
      <c r="M9" s="32">
        <f>IF(K9="","",K9-L9)</f>
        <v/>
      </c>
      <c r="N9" s="33">
        <f>IFERROR(L9/K9,"")</f>
        <v/>
      </c>
      <c r="O9" s="31" t="n"/>
      <c r="P9" s="31" t="n"/>
      <c r="Q9" s="34">
        <f>IFERROR((N9*O9)-((1-N9)*P9),"")</f>
        <v/>
      </c>
      <c r="R9" s="34">
        <f>IFERROR((L9*O9)/(M9*P9),"")</f>
        <v/>
      </c>
      <c r="S9" s="32">
        <f>IF(K9="","Not yet tested",IF(K9&lt;30,"Sample too small (&lt;30 trades)",IF(Q9&lt;=0,"Negative expectancy - drop",IF(Q9&lt;=0.1,"Underperforms cash/benchmark - hold","Positive expectancy - shortlist"))))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34" customWidth="1" style="15" min="2" max="2"/>
    <col width="20" customWidth="1" style="15" min="3" max="3"/>
    <col width="10" customWidth="1" style="15" min="4" max="4"/>
    <col width="34" customWidth="1" style="15" min="5" max="5"/>
    <col width="26" customWidth="1" style="15" min="6" max="6"/>
    <col width="14" customWidth="1" style="15" min="7" max="7"/>
    <col width="34" customWidth="1" style="15" min="8" max="8"/>
    <col width="12" customWidth="1" style="15" min="9" max="10"/>
    <col width="11" customWidth="1" style="15" min="11" max="11"/>
    <col width="8" customWidth="1" style="15" min="12" max="13"/>
    <col width="10" customWidth="1" style="15" min="14" max="14"/>
    <col width="12" customWidth="1" style="15" min="15" max="18"/>
    <col width="22" customWidth="1" style="15" min="19" max="19"/>
    <col width="34" customWidth="1" style="15" min="20" max="20"/>
  </cols>
  <sheetData>
    <row r="1" ht="33.75" customHeight="1" s="16">
      <c r="A1" s="20" t="inlineStr">
        <is>
          <t>Strategy</t>
        </is>
      </c>
      <c r="B1" s="20" t="inlineStr">
        <is>
          <t>Description</t>
        </is>
      </c>
      <c r="C1" s="20" t="inlineStr">
        <is>
          <t>Best Market Condition</t>
        </is>
      </c>
      <c r="D1" s="20" t="inlineStr">
        <is>
          <t>Timeframe</t>
        </is>
      </c>
      <c r="E1" s="20" t="inlineStr">
        <is>
          <t>Entry Rule</t>
        </is>
      </c>
      <c r="F1" s="20" t="inlineStr">
        <is>
          <t>Stop Rule</t>
        </is>
      </c>
      <c r="G1" s="20" t="inlineStr">
        <is>
          <t>Community Buzz</t>
        </is>
      </c>
      <c r="H1" s="20" t="inlineStr">
        <is>
          <t>Community Sentiment</t>
        </is>
      </c>
      <c r="I1" s="20" t="inlineStr">
        <is>
          <t>Start Date</t>
        </is>
      </c>
      <c r="J1" s="20" t="inlineStr">
        <is>
          <t>End Date</t>
        </is>
      </c>
      <c r="K1" s="20" t="inlineStr">
        <is>
          <t>Trades Taken</t>
        </is>
      </c>
      <c r="L1" s="20" t="inlineStr">
        <is>
          <t>Wins</t>
        </is>
      </c>
      <c r="M1" s="20" t="inlineStr">
        <is>
          <t>Losses</t>
        </is>
      </c>
      <c r="N1" s="20" t="inlineStr">
        <is>
          <t>Win Rate</t>
        </is>
      </c>
      <c r="O1" s="20" t="inlineStr">
        <is>
          <t>Avg Win (R)</t>
        </is>
      </c>
      <c r="P1" s="20" t="inlineStr">
        <is>
          <t>Avg Loss (R)</t>
        </is>
      </c>
      <c r="Q1" s="20" t="inlineStr">
        <is>
          <t>Expectancy (R)</t>
        </is>
      </c>
      <c r="R1" s="20" t="inlineStr">
        <is>
          <t>Profit Factor</t>
        </is>
      </c>
      <c r="S1" s="20" t="inlineStr">
        <is>
          <t>Status</t>
        </is>
      </c>
      <c r="T1" s="20" t="inlineStr">
        <is>
          <t>Notes</t>
        </is>
      </c>
    </row>
    <row r="2" ht="45.75" customHeight="1" s="16">
      <c r="A2" s="21" t="inlineStr">
        <is>
          <t>Pullback to 21 EMA</t>
        </is>
      </c>
      <c r="B2" s="21" t="inlineStr">
        <is>
          <t>Buy dips to rising EMA in an established uptrend</t>
        </is>
      </c>
      <c r="C2" s="21" t="inlineStr">
        <is>
          <t>Trending market</t>
        </is>
      </c>
      <c r="D2" s="21" t="inlineStr">
        <is>
          <t>Daily</t>
        </is>
      </c>
      <c r="E2" s="21" t="inlineStr">
        <is>
          <t>Price pulls back to 21 EMA, holds, reversal candle</t>
        </is>
      </c>
      <c r="F2" s="21" t="inlineStr">
        <is>
          <t>Below 21 EMA or recent swing low</t>
        </is>
      </c>
      <c r="G2" s="21" t="inlineStr">
        <is>
          <t>Very High</t>
        </is>
      </c>
      <c r="H2" s="21" t="inlineStr">
        <is>
          <t>Called the most reliable setup across market conditions</t>
        </is>
      </c>
      <c r="I2" s="22" t="n">
        <v>44395</v>
      </c>
      <c r="J2" s="22" t="n">
        <v>46220</v>
      </c>
      <c r="K2" s="23" t="n">
        <v>1122</v>
      </c>
      <c r="L2" s="23" t="n">
        <v>360</v>
      </c>
      <c r="M2" s="21">
        <f>IF(K2="","",K2-L2)</f>
        <v/>
      </c>
      <c r="N2" s="24">
        <f>IFERROR(L2/K2,"")</f>
        <v/>
      </c>
      <c r="O2" s="23" t="n">
        <v>0.7827</v>
      </c>
      <c r="P2" s="23" t="n">
        <v>0.3333</v>
      </c>
      <c r="Q2" s="25">
        <f>IFERROR((N2*O2)-((1-N2)*P2),"")</f>
        <v/>
      </c>
      <c r="R2" s="25">
        <f>IFERROR((L2*O2)/(M2*P2),"")</f>
        <v/>
      </c>
      <c r="S2" s="21">
        <f>IF(K2="","Not yet tested",IF(K2&lt;30,"Sample too small (&lt;30 trades)",IF(Q2&lt;=0,"Negative expectancy - drop",IF(Q2&lt;=0.1,"Underperforms cash/benchmark - hold","Positive expectancy - shortlist"))))</f>
        <v/>
      </c>
      <c r="T2" s="23" t="n"/>
    </row>
    <row r="3" ht="45.75" customHeight="1" s="16">
      <c r="A3" s="21" t="inlineStr">
        <is>
          <t>Breakout from Consolidation</t>
        </is>
      </c>
      <c r="B3" s="21" t="inlineStr">
        <is>
          <t>Buy range breakout (flag/pennant) on volume</t>
        </is>
      </c>
      <c r="C3" s="21" t="inlineStr">
        <is>
          <t>Trending or coiling market</t>
        </is>
      </c>
      <c r="D3" s="21" t="inlineStr">
        <is>
          <t>Daily</t>
        </is>
      </c>
      <c r="E3" s="21" t="inlineStr">
        <is>
          <t>Close above range high on 1.5-2x avg volume</t>
        </is>
      </c>
      <c r="F3" s="21" t="inlineStr">
        <is>
          <t>Back inside the range</t>
        </is>
      </c>
      <c r="G3" s="21" t="inlineStr">
        <is>
          <t>Very High</t>
        </is>
      </c>
      <c r="H3" s="21" t="inlineStr">
        <is>
          <t>High-probability setup but volume confirmation is essential -- no-volume breaks are usually fake</t>
        </is>
      </c>
      <c r="I3" s="22" t="n">
        <v>44394</v>
      </c>
      <c r="J3" s="22" t="n">
        <v>46219</v>
      </c>
      <c r="K3" s="23" t="n">
        <v>386</v>
      </c>
      <c r="L3" s="23" t="n">
        <v>204</v>
      </c>
      <c r="M3" s="21">
        <f>IF(K3="","",K3-L3)</f>
        <v/>
      </c>
      <c r="N3" s="24">
        <f>IFERROR(L3/K3,"")</f>
        <v/>
      </c>
      <c r="O3" s="23" t="n">
        <v>1.064</v>
      </c>
      <c r="P3" s="23" t="n">
        <v>0.9789</v>
      </c>
      <c r="Q3" s="25">
        <f>IFERROR((N3*O3)-((1-N3)*P3),"")</f>
        <v/>
      </c>
      <c r="R3" s="25">
        <f>IFERROR((L3*O3)/(M3*P3),"")</f>
        <v/>
      </c>
      <c r="S3" s="21">
        <f>IF(K3="","Not yet tested",IF(K3&lt;30,"Sample too small (&lt;30 trades)",IF(Q3&lt;=0,"Negative expectancy - drop",IF(Q3&lt;=0.1,"Underperforms cash/benchmark - hold","Positive expectancy - shortlist"))))</f>
        <v/>
      </c>
      <c r="T3" s="23" t="n"/>
    </row>
    <row r="4" ht="45.75" customHeight="1" s="16">
      <c r="A4" s="21" t="inlineStr">
        <is>
          <t>9/21 EMA Crossover</t>
        </is>
      </c>
      <c r="B4" s="21" t="inlineStr">
        <is>
          <t>Mechanical trend-following signal</t>
        </is>
      </c>
      <c r="C4" s="21" t="inlineStr">
        <is>
          <t>Trending market</t>
        </is>
      </c>
      <c r="D4" s="21" t="inlineStr">
        <is>
          <t>Daily</t>
        </is>
      </c>
      <c r="E4" s="21" t="inlineStr">
        <is>
          <t>9 EMA crosses back above 21 EMA, both sloping up</t>
        </is>
      </c>
      <c r="F4" s="21" t="inlineStr">
        <is>
          <t>Below 21 EMA or swing low</t>
        </is>
      </c>
      <c r="G4" s="21" t="inlineStr">
        <is>
          <t>High</t>
        </is>
      </c>
      <c r="H4" s="21" t="inlineStr">
        <is>
          <t>Valued for objectivity; acknowledged as a lagging signal</t>
        </is>
      </c>
      <c r="I4" s="22" t="n">
        <v>44394</v>
      </c>
      <c r="J4" s="22" t="n">
        <v>46219</v>
      </c>
      <c r="K4" s="23" t="n">
        <v>689</v>
      </c>
      <c r="L4" s="23" t="n">
        <v>218</v>
      </c>
      <c r="M4" s="21">
        <f>IF(K4="","",K4-L4)</f>
        <v/>
      </c>
      <c r="N4" s="24">
        <f>IFERROR(L4/K4,"")</f>
        <v/>
      </c>
      <c r="O4" s="23" t="n">
        <v>1.3171</v>
      </c>
      <c r="P4" s="23" t="n">
        <v>0.4882</v>
      </c>
      <c r="Q4" s="25">
        <f>IFERROR((N4*O4)-((1-N4)*P4),"")</f>
        <v/>
      </c>
      <c r="R4" s="25">
        <f>IFERROR((L4*O4)/(M4*P4),"")</f>
        <v/>
      </c>
      <c r="S4" s="21">
        <f>IF(K4="","Not yet tested",IF(K4&lt;30,"Sample too small (&lt;30 trades)",IF(Q4&lt;=0,"Negative expectancy - drop",IF(Q4&lt;=0.1,"Underperforms cash/benchmark - hold","Positive expectancy - shortlist"))))</f>
        <v/>
      </c>
      <c r="T4" s="23" t="n"/>
    </row>
    <row r="5" ht="45.75" customHeight="1" s="16">
      <c r="A5" s="21" t="inlineStr">
        <is>
          <t>Oversold Bounce (RSI&lt;30)</t>
        </is>
      </c>
      <c r="B5" s="21" t="inlineStr">
        <is>
          <t>Counter-trend bounce at support</t>
        </is>
      </c>
      <c r="C5" s="21" t="inlineStr">
        <is>
          <t>Pullback within longer uptrend</t>
        </is>
      </c>
      <c r="D5" s="21" t="inlineStr">
        <is>
          <t>Daily</t>
        </is>
      </c>
      <c r="E5" s="21" t="inlineStr">
        <is>
          <t>RSI(14)&lt;30 at support + reversal candle</t>
        </is>
      </c>
      <c r="F5" s="21" t="inlineStr">
        <is>
          <t>Below reversal candle low</t>
        </is>
      </c>
      <c r="G5" s="21" t="inlineStr">
        <is>
          <t>Medium</t>
        </is>
      </c>
      <c r="H5" s="21" t="inlineStr">
        <is>
          <t>Explicitly counter-trend -- community stresses smaller size, tighter stops</t>
        </is>
      </c>
      <c r="I5" s="22" t="n">
        <v>44394</v>
      </c>
      <c r="J5" s="22" t="n">
        <v>46219</v>
      </c>
      <c r="K5" s="23" t="n">
        <v>208</v>
      </c>
      <c r="L5" s="23" t="n">
        <v>88</v>
      </c>
      <c r="M5" s="21">
        <f>IF(K5="","",K5-L5)</f>
        <v/>
      </c>
      <c r="N5" s="24">
        <f>IFERROR(L5/K5,"")</f>
        <v/>
      </c>
      <c r="O5" s="23" t="n">
        <v>1.8443</v>
      </c>
      <c r="P5" s="23" t="n">
        <v>1.0417</v>
      </c>
      <c r="Q5" s="25">
        <f>IFERROR((N5*O5)-((1-N5)*P5),"")</f>
        <v/>
      </c>
      <c r="R5" s="25">
        <f>IFERROR((L5*O5)/(M5*P5),"")</f>
        <v/>
      </c>
      <c r="S5" s="21">
        <f>IF(K5="","Not yet tested",IF(K5&lt;30,"Sample too small (&lt;30 trades)",IF(Q5&lt;=0,"Negative expectancy - drop",IF(Q5&lt;=0.1,"Underperforms cash/benchmark - hold","Positive expectancy - shortlist"))))</f>
        <v/>
      </c>
      <c r="T5" s="23" t="n"/>
    </row>
    <row r="6" ht="45.75" customHeight="1" s="16">
      <c r="A6" s="21" t="inlineStr">
        <is>
          <t>Fibonacci Retracement Entry</t>
        </is>
      </c>
      <c r="B6" s="21" t="inlineStr">
        <is>
          <t>Buy 50%/61.8% pullback after a strong move</t>
        </is>
      </c>
      <c r="C6" s="21" t="inlineStr">
        <is>
          <t>Momentum name pulling back</t>
        </is>
      </c>
      <c r="D6" s="21" t="inlineStr">
        <is>
          <t>Daily</t>
        </is>
      </c>
      <c r="E6" s="21" t="inlineStr">
        <is>
          <t>Price reaches 50-61.8% fib level with reversal signal</t>
        </is>
      </c>
      <c r="F6" s="21" t="inlineStr">
        <is>
          <t>Below the fib level / swing low</t>
        </is>
      </c>
      <c r="G6" s="21" t="inlineStr">
        <is>
          <t>Medium-High</t>
        </is>
      </c>
      <c r="H6" s="21" t="inlineStr">
        <is>
          <t>Lower win rate (45-55%) but larger avg winners due to tight stop vs target</t>
        </is>
      </c>
      <c r="I6" s="22" t="n">
        <v>44394</v>
      </c>
      <c r="J6" s="22" t="n">
        <v>46219</v>
      </c>
      <c r="K6" s="23" t="n">
        <v>425</v>
      </c>
      <c r="L6" s="23" t="n">
        <v>157</v>
      </c>
      <c r="M6" s="21">
        <f>IF(K6="","",K6-L6)</f>
        <v/>
      </c>
      <c r="N6" s="24">
        <f>IFERROR(L6/K6,"")</f>
        <v/>
      </c>
      <c r="O6" s="23" t="n">
        <v>1.5873</v>
      </c>
      <c r="P6" s="23" t="n">
        <v>1.0159</v>
      </c>
      <c r="Q6" s="25">
        <f>IFERROR((N6*O6)-((1-N6)*P6),"")</f>
        <v/>
      </c>
      <c r="R6" s="25">
        <f>IFERROR((L6*O6)/(M6*P6),"")</f>
        <v/>
      </c>
      <c r="S6" s="21">
        <f>IF(K6="","Not yet tested",IF(K6&lt;30,"Sample too small (&lt;30 trades)",IF(Q6&lt;=0,"Negative expectancy - drop",IF(Q6&lt;=0.1,"Underperforms cash/benchmark - hold","Positive expectancy - shortlist"))))</f>
        <v/>
      </c>
      <c r="T6" s="23" t="n"/>
    </row>
    <row r="7" ht="45.75" customHeight="1" s="16">
      <c r="A7" s="21" t="inlineStr">
        <is>
          <t>Earnings Momentum / Gap-Hold</t>
        </is>
      </c>
      <c r="B7" s="21" t="inlineStr">
        <is>
          <t>Ride the 'second leg' move after an earnings gap</t>
        </is>
      </c>
      <c r="C7" s="21" t="inlineStr">
        <is>
          <t>Strong earnings + sector strength</t>
        </is>
      </c>
      <c r="D7" s="21" t="inlineStr">
        <is>
          <t>Daily</t>
        </is>
      </c>
      <c r="E7" s="21" t="inlineStr">
        <is>
          <t>Multi-day continuation after initial gap settles</t>
        </is>
      </c>
      <c r="F7" s="21" t="inlineStr">
        <is>
          <t>Below the post-gap consolidation low</t>
        </is>
      </c>
      <c r="G7" s="21" t="inlineStr">
        <is>
          <t>Medium</t>
        </is>
      </c>
      <c r="H7" s="21" t="inlineStr">
        <is>
          <t>High-probability when sector/market cooperate; fails often when they don't</t>
        </is>
      </c>
      <c r="I7" s="22" t="n">
        <v>44394</v>
      </c>
      <c r="J7" s="22" t="n">
        <v>46219</v>
      </c>
      <c r="K7" s="23" t="n">
        <v>42</v>
      </c>
      <c r="L7" s="23" t="n">
        <v>23</v>
      </c>
      <c r="M7" s="21">
        <f>IF(K7="","",K7-L7)</f>
        <v/>
      </c>
      <c r="N7" s="24">
        <f>IFERROR(L7/K7,"")</f>
        <v/>
      </c>
      <c r="O7" s="23" t="n">
        <v>1.103</v>
      </c>
      <c r="P7" s="23" t="n">
        <v>0.4936</v>
      </c>
      <c r="Q7" s="25">
        <f>IFERROR((N7*O7)-((1-N7)*P7),"")</f>
        <v/>
      </c>
      <c r="R7" s="25">
        <f>IFERROR((L7*O7)/(M7*P7),"")</f>
        <v/>
      </c>
      <c r="S7" s="21">
        <f>IF(K7="","Not yet tested",IF(K7&lt;30,"Sample too small (&lt;30 trades)",IF(Q7&lt;=0,"Negative expectancy - drop",IF(Q7&lt;=0.1,"Underperforms cash/benchmark - hold","Positive expectancy - shortlist"))))</f>
        <v/>
      </c>
      <c r="T7" s="23" t="n"/>
    </row>
    <row r="8" ht="45.75" customHeight="1" s="16">
      <c r="A8" s="21" t="inlineStr">
        <is>
          <t>Sector Rotation Play</t>
        </is>
      </c>
      <c r="B8" s="21" t="inlineStr">
        <is>
          <t>Ride capital flow into an out-of-favor sector</t>
        </is>
      </c>
      <c r="C8" s="21" t="inlineStr">
        <is>
          <t>Macro regime shift</t>
        </is>
      </c>
      <c r="D8" s="21" t="inlineStr">
        <is>
          <t>Weekly</t>
        </is>
      </c>
      <c r="E8" s="21" t="inlineStr">
        <is>
          <t>Relative strength turning up vs. SPY</t>
        </is>
      </c>
      <c r="F8" s="21" t="inlineStr">
        <is>
          <t>Below sector ETF support</t>
        </is>
      </c>
      <c r="G8" s="21" t="inlineStr">
        <is>
          <t>Low-Medium</t>
        </is>
      </c>
      <c r="H8" s="21" t="inlineStr">
        <is>
          <t>Less discussed day-to-day; more of an intermediate/advanced approach</t>
        </is>
      </c>
      <c r="I8" s="22" t="n">
        <v>44394</v>
      </c>
      <c r="J8" s="22" t="n">
        <v>46219</v>
      </c>
      <c r="K8" s="23" t="n">
        <v>118</v>
      </c>
      <c r="L8" s="23" t="n">
        <v>54</v>
      </c>
      <c r="M8" s="21">
        <f>IF(K8="","",K8-L8)</f>
        <v/>
      </c>
      <c r="N8" s="24">
        <f>IFERROR(L8/K8,"")</f>
        <v/>
      </c>
      <c r="O8" s="23" t="n">
        <v>1.0131</v>
      </c>
      <c r="P8" s="23" t="n">
        <v>0.6514</v>
      </c>
      <c r="Q8" s="25">
        <f>IFERROR((N8*O8)-((1-N8)*P8),"")</f>
        <v/>
      </c>
      <c r="R8" s="25">
        <f>IFERROR((L8*O8)/(M8*P8),"")</f>
        <v/>
      </c>
      <c r="S8" s="21">
        <f>IF(K8="","Not yet tested",IF(K8&lt;30,"Sample too small (&lt;30 trades)",IF(Q8&lt;=0,"Negative expectancy - drop",IF(Q8&lt;=0.1,"Underperforms cash/benchmark - hold","Positive expectancy - shortlist"))))</f>
        <v/>
      </c>
      <c r="T8" s="23" t="inlineStr">
        <is>
          <t>Exit-rule cadence tested 2026-07-19: 4 variants of the existing RS-crossover signal exit (checked daily / every 21 trading days / every 63 trading days / 21-day min hold then daily), entry rule + stop rule + universe + cost model + risk-free rate held identical. Did not resolve underperformance -- best Sharpe -0.97 (63-day cadence, still negative), no variant cleared the shortlist bar (Sharpe&gt;0, expectancy&gt;0.1R, 30+ trades, exit efficiency&gt;75%). See logs/sector_rotation_exit_variants.csv / _notes.txt. Exhausted for this universe -- no mid-cap analog applies (sector-ETF universe is structural; already excluded from the 2026-07-17 mid-cap sweep).</t>
        </is>
      </c>
    </row>
    <row r="9" ht="60" customHeight="1" s="16">
      <c r="A9" s="21" t="inlineStr">
        <is>
          <t>Connors Mean Reversion (RSI2)</t>
        </is>
      </c>
      <c r="B9" s="21" t="inlineStr">
        <is>
          <t>Buy short-term weakness in a long-term uptrend; consolidates RSI2 / Cumulative-RSI / RSI3 as one tunable strategy</t>
        </is>
      </c>
      <c r="C9" s="21" t="inlineStr">
        <is>
          <t>Uptrend (price &gt; 200-day MA)</t>
        </is>
      </c>
      <c r="D9" s="21" t="inlineStr">
        <is>
          <t>Daily</t>
        </is>
      </c>
      <c r="E9" s="21" t="inlineStr">
        <is>
          <t>Price &gt; 200-day MA and 2-period RSI &lt; 10 (tunable); optional layered entry adding below RSI 5</t>
        </is>
      </c>
      <c r="F9" s="21" t="inlineStr">
        <is>
          <t>Time stop (exit after N days) or close &gt; 5-day MA; optional 3x ATR hard stop</t>
        </is>
      </c>
      <c r="G9" s="21" t="inlineStr">
        <is>
          <t>High (quant circles)</t>
        </is>
      </c>
      <c r="H9" s="21" t="inlineStr">
        <is>
          <t>Extensively backtested; claimed 17+yr out-of-sample survival, long side stronger than short. Overlaps existing Oversold Bounce</t>
        </is>
      </c>
      <c r="I9" s="22" t="n">
        <v>44394</v>
      </c>
      <c r="J9" s="22" t="n">
        <v>46219</v>
      </c>
      <c r="K9" s="23" t="n">
        <v>843</v>
      </c>
      <c r="L9" s="23" t="n">
        <v>547</v>
      </c>
      <c r="M9" s="21">
        <f>IF(K9="","",K9-L9)</f>
        <v/>
      </c>
      <c r="N9" s="24">
        <f>IFERROR(L9/K9,"")</f>
        <v/>
      </c>
      <c r="O9" s="23" t="n">
        <v>0.2799</v>
      </c>
      <c r="P9" s="23" t="n">
        <v>0.4019</v>
      </c>
      <c r="Q9" s="25">
        <f>IFERROR((N9*O9)-((1-N9)*P9),"")</f>
        <v/>
      </c>
      <c r="R9" s="25">
        <f>IFERROR((L9*O9)/(M9*P9),"")</f>
        <v/>
      </c>
      <c r="S9" s="21">
        <f>IF(K9="","Not yet tested",IF(K9&lt;30,"Sample too small (&lt;30 trades)",IF(Q9&lt;=0,"Negative expectancy - drop",IF(Q9&lt;=0.1,"Underperforms cash/benchmark - hold","Positive expectancy - shortlist"))))</f>
        <v/>
      </c>
      <c r="T9" s="23" t="n"/>
    </row>
    <row r="10" ht="60" customHeight="1" s="16">
      <c r="A10" s="21" t="inlineStr">
        <is>
          <t>Internal Bar Strength (IBS)</t>
        </is>
      </c>
      <c r="B10" s="21" t="inlineStr">
        <is>
          <t>Fade bars that close near their low, expecting reversion; signal uses bar position not momentum</t>
        </is>
      </c>
      <c r="C10" s="21" t="inlineStr">
        <is>
          <t>Uptrend (price &gt; long EMA)</t>
        </is>
      </c>
      <c r="D10" s="21" t="inlineStr">
        <is>
          <t>Daily</t>
        </is>
      </c>
      <c r="E10" s="21" t="inlineStr">
        <is>
          <t>IBS = (close-low)/(high-low) &lt; 0.2 and price &gt; 252-day EMA</t>
        </is>
      </c>
      <c r="F10" s="21" t="inlineStr">
        <is>
          <t>Exit when IBS &gt; 0.9 (signal-based exit, no fixed target)</t>
        </is>
      </c>
      <c r="G10" s="21" t="inlineStr">
        <is>
          <t>Medium (algo circles)</t>
        </is>
      </c>
      <c r="H10" s="21" t="inlineStr">
        <is>
          <t>Avg trade ~9 days (true swing horizon); PF reported &gt;1.0 on daily index bars. Genuinely different signal from RSI</t>
        </is>
      </c>
      <c r="I10" s="22" t="n">
        <v>44394</v>
      </c>
      <c r="J10" s="22" t="n">
        <v>46219</v>
      </c>
      <c r="K10" s="23" t="n">
        <v>1641</v>
      </c>
      <c r="L10" s="23" t="n">
        <v>906</v>
      </c>
      <c r="M10" s="21">
        <f>IF(K10="","",K10-L10)</f>
        <v/>
      </c>
      <c r="N10" s="24">
        <f>IFERROR(L10/K10,"")</f>
        <v/>
      </c>
      <c r="O10" s="23" t="n">
        <v>0.5953000000000001</v>
      </c>
      <c r="P10" s="23" t="n">
        <v>0.623</v>
      </c>
      <c r="Q10" s="25">
        <f>IFERROR((N10*O10)-((1-N10)*P10),"")</f>
        <v/>
      </c>
      <c r="R10" s="25">
        <f>IFERROR((L10*O10)/(M10*P10),"")</f>
        <v/>
      </c>
      <c r="S10" s="21">
        <f>IF(K10="","Not yet tested",IF(K10&lt;30,"Sample too small (&lt;30 trades)",IF(Q10&lt;=0,"Negative expectancy - drop",IF(Q10&lt;=0.1,"Underperforms cash/benchmark - hold","Positive expectancy - shortlist"))))</f>
        <v/>
      </c>
      <c r="T10" s="23" t="n"/>
    </row>
    <row r="11" ht="60" customHeight="1" s="16">
      <c r="A11" s="21" t="inlineStr">
        <is>
          <t>Dual Momentum</t>
        </is>
      </c>
      <c r="B11" s="21" t="inlineStr">
        <is>
          <t>Rank universe by relative momentum; hold only if also positive vs cash (absolute filter). Cross-sectional / rotational</t>
        </is>
      </c>
      <c r="C11" s="21" t="inlineStr">
        <is>
          <t>Any (rotates to strength)</t>
        </is>
      </c>
      <c r="D11" s="21" t="inlineStr">
        <is>
          <t>Monthly rebalance</t>
        </is>
      </c>
      <c r="E11" s="21" t="inlineStr">
        <is>
          <t>Hold top-N by trailing 6-12mo return, only if trailing return &gt; risk-free (else go to cash/bonds)</t>
        </is>
      </c>
      <c r="F11" s="21" t="inlineStr">
        <is>
          <t>Rules-based exit at rebalance (drops out of top-N or fails absolute filter)</t>
        </is>
      </c>
      <c r="G11" s="21" t="inlineStr">
        <is>
          <t>Medium-High</t>
        </is>
      </c>
      <c r="H11" s="21" t="inlineStr">
        <is>
          <t>Structurally different (market-neutral-ish, addresses zero-beta problem). Needs the cross-sectional ranking layer</t>
        </is>
      </c>
      <c r="I11" s="22" t="n"/>
      <c r="J11" s="22" t="n"/>
      <c r="K11" s="23" t="n"/>
      <c r="L11" s="23" t="n"/>
      <c r="M11" s="21">
        <f>IF(K11="","",K11-L11)</f>
        <v/>
      </c>
      <c r="N11" s="24">
        <f>IFERROR(L11/K11,"")</f>
        <v/>
      </c>
      <c r="O11" s="23" t="n"/>
      <c r="P11" s="23" t="n"/>
      <c r="Q11" s="25">
        <f>IFERROR((N11*O11)-((1-N11)*P11),"")</f>
        <v/>
      </c>
      <c r="R11" s="25">
        <f>IFERROR((L11*O11)/(M11*P11),"")</f>
        <v/>
      </c>
      <c r="S11" s="21">
        <f>IF(K11="","Not yet tested",IF(K11&lt;30,"Sample too small (&lt;30 trades)",IF(Q11&lt;=0,"Negative expectancy - drop",IF(Q11&lt;=0.1,"Underperforms cash/benchmark - hold","Positive expectancy - shortlist"))))</f>
        <v/>
      </c>
      <c r="T11" s="23" t="n"/>
    </row>
    <row r="12" ht="60" customHeight="1" s="16">
      <c r="A12" s="21" t="inlineStr">
        <is>
          <t>Pairs / Stat Arb</t>
        </is>
      </c>
      <c r="B12" s="21" t="inlineStr">
        <is>
          <t>Long one asset, short a cointegrated partner when their spread diverges; market-neutral by construction</t>
        </is>
      </c>
      <c r="C12" s="21" t="inlineStr">
        <is>
          <t>Any (market-neutral)</t>
        </is>
      </c>
      <c r="D12" s="21" t="inlineStr">
        <is>
          <t>Daily (hold days-weeks)</t>
        </is>
      </c>
      <c r="E12" s="21" t="inlineStr">
        <is>
          <t>Spread between cointegrated pair exceeds N std devs from its mean (z-score entry)</t>
        </is>
      </c>
      <c r="F12" s="21" t="inlineStr">
        <is>
          <t>Spread stop: exit if z-score widens beyond threshold or cointegration breaks</t>
        </is>
      </c>
      <c r="G12" s="21" t="inlineStr">
        <is>
          <t>Medium</t>
        </is>
      </c>
      <c r="H12" s="21" t="inlineStr">
        <is>
          <t>Truly market-neutral but hardest to implement; very prone to great in-sample / broken live. Needs cointegration + spread modeling</t>
        </is>
      </c>
      <c r="I12" s="22" t="n"/>
      <c r="J12" s="22" t="n"/>
      <c r="K12" s="23" t="n"/>
      <c r="L12" s="23" t="n"/>
      <c r="M12" s="21">
        <f>IF(K12="","",K12-L12)</f>
        <v/>
      </c>
      <c r="N12" s="24">
        <f>IFERROR(L12/K12,"")</f>
        <v/>
      </c>
      <c r="O12" s="23" t="n"/>
      <c r="P12" s="23" t="n"/>
      <c r="Q12" s="25">
        <f>IFERROR((N12*O12)-((1-N12)*P12),"")</f>
        <v/>
      </c>
      <c r="R12" s="25">
        <f>IFERROR((L12*O12)/(M12*P12),"")</f>
        <v/>
      </c>
      <c r="S12" s="21">
        <f>IF(K12="","Not yet tested",IF(K12&lt;30,"Sample too small (&lt;30 trades)",IF(Q12&lt;=0,"Negative expectancy - drop",IF(Q12&lt;=0.1,"Underperforms cash/benchmark - hold","Positive expectancy - shortlist"))))</f>
        <v/>
      </c>
      <c r="T12" s="23" t="n"/>
    </row>
    <row r="13" ht="60" customHeight="1" s="16">
      <c r="A13" s="21" t="inlineStr">
        <is>
          <t>Gap Fade (daily)</t>
        </is>
      </c>
      <c r="B13" s="21" t="inlineStr">
        <is>
          <t>Fade large overnight gaps expecting partial reversion toward prior close</t>
        </is>
      </c>
      <c r="C13" s="21" t="inlineStr">
        <is>
          <t>Range-bound / overreaction days</t>
        </is>
      </c>
      <c r="D13" s="21" t="inlineStr">
        <is>
          <t>Daily (intraday-to-few-days)</t>
        </is>
      </c>
      <c r="E13" s="21" t="inlineStr">
        <is>
          <t>Overnight gap exceeds N% (or N x ATR); enter counter-gap at open</t>
        </is>
      </c>
      <c r="F13" s="21" t="inlineStr">
        <is>
          <t>Beyond the gap extreme; caution -- gaps can continue not revert</t>
        </is>
      </c>
      <c r="G13" s="21" t="inlineStr">
        <is>
          <t>Low-Medium</t>
        </is>
      </c>
      <c r="H13" s="21" t="inlineStr">
        <is>
          <t>Same stop-fill realism risk your News Fade exposed -- gaps can run straight through a stop. Model fills honestly</t>
        </is>
      </c>
      <c r="I13" s="22" t="n">
        <v>44394</v>
      </c>
      <c r="J13" s="22" t="n">
        <v>46219</v>
      </c>
      <c r="K13" s="23" t="n">
        <v>328</v>
      </c>
      <c r="L13" s="23" t="n">
        <v>98</v>
      </c>
      <c r="M13" s="21">
        <f>IF(K13="","",K13-L13)</f>
        <v/>
      </c>
      <c r="N13" s="24">
        <f>IFERROR(L13/K13,"")</f>
        <v/>
      </c>
      <c r="O13" s="23" t="n">
        <v>2.8779</v>
      </c>
      <c r="P13" s="23" t="n">
        <v>1.4402</v>
      </c>
      <c r="Q13" s="25">
        <f>IFERROR((N13*O13)-((1-N13)*P13),"")</f>
        <v/>
      </c>
      <c r="R13" s="25">
        <f>IFERROR((L13*O13)/(M13*P13),"")</f>
        <v/>
      </c>
      <c r="S13" s="21">
        <f>IF(K13="","Not yet tested",IF(K13&lt;30,"Sample too small (&lt;30 trades)",IF(Q13&lt;=0,"Negative expectancy - drop",IF(Q13&lt;=0.1,"Underperforms cash/benchmark - hold","Positive expectancy - shortlist"))))</f>
        <v/>
      </c>
      <c r="T13" s="23" t="n"/>
    </row>
    <row r="14">
      <c r="A14" s="15" t="inlineStr">
        <is>
          <t>Post-Earnings Drift (PEAD)</t>
        </is>
      </c>
      <c r="B14" s="15" t="inlineStr">
        <is>
          <t>Ride the multi-week drift after a positive earnings surprise (market underreacts, then catches up).</t>
        </is>
      </c>
      <c r="C14" s="15" t="inlineStr">
        <is>
          <t>Post-earnings continuation</t>
        </is>
      </c>
      <c r="D14" s="15" t="inlineStr">
        <is>
          <t>Daily (hold weeks)</t>
        </is>
      </c>
      <c r="E14" s="15" t="inlineStr">
        <is>
          <t>Within 3 sessions of a REAL positive earnings surprise (Reported EPS &gt; Estimate) whose reaction session closed up, go long while price drifts above that session close and above the 20-day EMA.</t>
        </is>
      </c>
      <c r="F14" s="15" t="inlineStr">
        <is>
          <t>2x ATR below entry; ride the drift, exit when close falls back below the 20-day EMA.</t>
        </is>
      </c>
      <c r="I14" s="30" t="n"/>
      <c r="J14" s="30" t="n"/>
      <c r="K14" s="31" t="n"/>
      <c r="L14" s="31" t="n"/>
      <c r="M14" s="32">
        <f>IF(K14="","",K14-L14)</f>
        <v/>
      </c>
      <c r="N14" s="33">
        <f>IFERROR(L14/K14,"")</f>
        <v/>
      </c>
      <c r="O14" s="31" t="n"/>
      <c r="P14" s="31" t="n"/>
      <c r="Q14" s="34">
        <f>IFERROR((N14*O14)-((1-N14)*P14),"")</f>
        <v/>
      </c>
      <c r="R14" s="34">
        <f>IFERROR((L14*O14)/(M14*P14),"")</f>
        <v/>
      </c>
      <c r="S14" s="32">
        <f>IF(K14="","Not yet tested",IF(K14&lt;30,"Sample too small (&lt;30 trades)",IF(Q14&lt;=0,"Negative expectancy - drop",IF(Q14&lt;=0.1,"Underperforms cash/benchmark - hold","Positive expectancy - shortlist"))))</f>
        <v/>
      </c>
    </row>
    <row r="15">
      <c r="A15" s="15" t="inlineStr">
        <is>
          <t>Turnaround Tuesday</t>
        </is>
      </c>
      <c r="B15" s="15" t="inlineStr">
        <is>
          <t>Seasonal mean reversion: short-term weakness into Monday tends to bounce early in the week.</t>
        </is>
      </c>
      <c r="C15" s="15" t="inlineStr">
        <is>
          <t>Range-bound / short-term oversold</t>
        </is>
      </c>
      <c r="D15" s="15" t="inlineStr">
        <is>
          <t>Daily (1-4 day hold)</t>
        </is>
      </c>
      <c r="E15" s="15" t="inlineStr">
        <is>
          <t>On a Monday close with price &gt; 200-day SMA and 2-period RSI &lt; 10 (short-term oversold), go long.</t>
        </is>
      </c>
      <c r="F15" s="15" t="inlineStr">
        <is>
          <t>2x ATR below entry; exit on the first up-close (the bounce).</t>
        </is>
      </c>
      <c r="I15" s="30" t="n">
        <v>44395</v>
      </c>
      <c r="J15" s="30" t="n">
        <v>46220</v>
      </c>
      <c r="K15" s="31" t="n">
        <v>346</v>
      </c>
      <c r="L15" s="31" t="n">
        <v>202</v>
      </c>
      <c r="M15" s="32">
        <f>IF(K15="","",K15-L15)</f>
        <v/>
      </c>
      <c r="N15" s="33">
        <f>IFERROR(L15/K15,"")</f>
        <v/>
      </c>
      <c r="O15" s="31" t="n">
        <v>0.2666</v>
      </c>
      <c r="P15" s="31" t="n">
        <v>0.4558</v>
      </c>
      <c r="Q15" s="34">
        <f>IFERROR((N15*O15)-((1-N15)*P15),"")</f>
        <v/>
      </c>
      <c r="R15" s="34">
        <f>IFERROR((L15*O15)/(M15*P15),"")</f>
        <v/>
      </c>
      <c r="S15" s="32">
        <f>IF(K15="","Not yet tested",IF(K15&lt;30,"Sample too small (&lt;30 trades)",IF(Q15&lt;=0,"Negative expectancy - drop",IF(Q15&lt;=0.1,"Underperforms cash/benchmark - hold","Positive expectancy - shortlist"))))</f>
        <v/>
      </c>
    </row>
    <row r="16">
      <c r="A16" s="15" t="inlineStr">
        <is>
          <t>Overnight Hold</t>
        </is>
      </c>
      <c r="B16" s="15" t="inlineStr">
        <is>
          <t>Capture the overnight risk premium: buy the close, sell the next open, flat all day.</t>
        </is>
      </c>
      <c r="C16" s="15" t="inlineStr">
        <is>
          <t>Broad index/ETF, trend up</t>
        </is>
      </c>
      <c r="D16" s="15" t="inlineStr">
        <is>
          <t>Daily (overnight, 1 bar)</t>
        </is>
      </c>
      <c r="E16" s="15" t="inlineStr">
        <is>
          <t>When price &gt; 200-day SMA, buy at the close and sell at the next session open.</t>
        </is>
      </c>
      <c r="F16" s="15" t="inlineStr">
        <is>
          <t>No stop (overnight gap is the risk); nominal 1x ATR used only for position sizing.</t>
        </is>
      </c>
      <c r="I16" s="30" t="n">
        <v>44396</v>
      </c>
      <c r="J16" s="30" t="n">
        <v>46221</v>
      </c>
      <c r="K16" s="31" t="n">
        <v>19076</v>
      </c>
      <c r="L16" s="31" t="n">
        <v>9998</v>
      </c>
      <c r="M16" s="32">
        <f>IF(K16="","",K16-L16)</f>
        <v/>
      </c>
      <c r="N16" s="33">
        <f>IFERROR(L16/K16,"")</f>
        <v/>
      </c>
      <c r="O16" s="31" t="n">
        <v>0.2614</v>
      </c>
      <c r="P16" s="31" t="n">
        <v>0.2697</v>
      </c>
      <c r="Q16" s="34">
        <f>IFERROR((N16*O16)-((1-N16)*P16),"")</f>
        <v/>
      </c>
      <c r="R16" s="34">
        <f>IFERROR((L16*O16)/(M16*P16),"")</f>
        <v/>
      </c>
      <c r="S16" s="32">
        <f>IF(K16="","Not yet tested",IF(K16&lt;30,"Sample too small (&lt;30 trades)",IF(Q16&lt;=0,"Negative expectancy - drop",IF(Q16&lt;=0.1,"Underperforms cash/benchmark - hold","Positive expectancy - shortlist"))))</f>
        <v/>
      </c>
      <c r="T16" s="15" t="inlineStr">
        <is>
          <t>Null-control / cost-model sanity check, run on the Dow-29 universe only (EQUITY_UNIVERSE) -- not this strategy's registered default universe (ETFs + Dow-29). Sharpe -0.75, ExpR +0.009R: near zero, as expected for an unfiltered overnight-drift test with realistic spread costs -- neither a large positive Sharpe (cost model too generous) nor a large negative one (overnight spread assumption too wide). See Experiment History for the broader-universe canonical run (28,142 trades, Sharpe -0.66).</t>
        </is>
      </c>
    </row>
    <row r="17">
      <c r="A17" s="15" t="inlineStr">
        <is>
          <t>Anchored VWAP Breakout</t>
        </is>
      </c>
      <c r="B17" s="15" t="inlineStr">
        <is>
          <t>Breakout back above an Anchored VWAP running from a qualifying earnings-gap reaction session, riding the institutional reference level</t>
        </is>
      </c>
      <c r="C17" s="15" t="inlineStr">
        <is>
          <t>Trending market, post-earnings</t>
        </is>
      </c>
      <c r="D17" s="15" t="inlineStr">
        <is>
          <t>Daily</t>
        </is>
      </c>
      <c r="E17" s="15" t="inlineStr">
        <is>
          <t>Close crosses back above AVWAP (anchored to the most recent qualifying earnings gap) after &gt;=5 consecutive bars below it, confirmed by volume &gt;1.5x the 20-day average</t>
        </is>
      </c>
      <c r="F17" s="15" t="inlineStr">
        <is>
          <t>8% hard stop below entry; AVWAP cross-below is a signal exit; 60-calendar-day time stop if neither fires</t>
        </is>
      </c>
      <c r="G17" s="15" t="inlineStr">
        <is>
          <t>Medium</t>
        </is>
      </c>
      <c r="H17" s="15" t="inlineStr">
        <is>
          <t>Popularized by Brian Shannon; well-known among swing traders but less mainstream than session VWAP for day trading</t>
        </is>
      </c>
      <c r="I17" s="41" t="n">
        <v>44397</v>
      </c>
      <c r="J17" s="41" t="n">
        <v>46222</v>
      </c>
      <c r="K17" t="n">
        <v>2</v>
      </c>
      <c r="L17" t="n">
        <v>1</v>
      </c>
      <c r="M17" s="15">
        <f>IF(K17="","",K17-L17)</f>
        <v/>
      </c>
      <c r="N17" s="15">
        <f>IFERROR(L17/K17,"")</f>
        <v/>
      </c>
      <c r="O17" t="n">
        <v>0.2371</v>
      </c>
      <c r="P17" t="n">
        <v>0.2464</v>
      </c>
      <c r="Q17" s="15">
        <f>IFERROR((N17*O17)-((1-N17)*P17),"")</f>
        <v/>
      </c>
      <c r="R17" s="15">
        <f>IFERROR((L17*O17)/(M17*P17),"")</f>
        <v/>
      </c>
      <c r="S17" s="15">
        <f>IF(K17="","Not yet tested",IF(K17&lt;30,"Sample too small (&lt;30 trades)",IF(Q17&lt;=0,"Negative expectancy - drop",IF(Q17&lt;=0.1,"Underperforms cash/benchmark - hold","Positive expectancy - shortlist"))))</f>
        <v/>
      </c>
      <c r="T17" t="inlineStr">
        <is>
          <t>Backtested 2026-07-19, EQUITY_UNIVERSE (Dow), earnings-gap anchor type (0% missing earnings coverage, mean 20 events/symbol -- locked per data-availability check). Only 2 trades in 5 years -- NOT an evaluable sample, and diagnosed as a filter-compounding problem, not a broken anchor/entry/exit rule: 61 qualifying anchors found across the universe (2.1/symbol, a plausible selectivity), and the AVWAP entry rule itself fires a reasonable 33 times when run WITHOUT the regime+Trend-Template gate (diagnostic-only run, not the reported result -- the locked spec requires both filters). But regime+Trend Template together pass only 13.7% of all bar-days, and their overlap with the (already rare, ~0.09% of bar-days) AVWAP entry condition collapses to 2 trades total. Same failure shape as Oversold Bounce (see LESSONS.md) though not a thesis conflict this time -- AVWAP breakout and Trend Template are both trend-following, so this is compounding selectivity, not contradiction. See logs/avwap_breakout_earnings_anchor.csv. Next step if pursued: test on a broader/more volatile universe where Trend Template pass rates run higher, or test without the Trend Template leg specifically (regime-only) to see where the sample recovers.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5" min="1" max="2"/>
    <col width="60" customWidth="1" style="15" min="3" max="3"/>
  </cols>
  <sheetData>
    <row r="1" ht="15.75" customHeight="1" s="16">
      <c r="A1" s="26" t="inlineStr">
        <is>
          <t>Shortlist Legend &amp; Status Key</t>
        </is>
      </c>
    </row>
    <row r="3" ht="30" customHeight="1" s="16">
      <c r="A3" s="27" t="inlineStr">
        <is>
          <t>Status value</t>
        </is>
      </c>
      <c r="B3" s="27" t="inlineStr">
        <is>
          <t>Meaning</t>
        </is>
      </c>
      <c r="C3" s="27" t="inlineStr">
        <is>
          <t>What to do</t>
        </is>
      </c>
    </row>
    <row r="4" ht="30" customHeight="1" s="16">
      <c r="A4" s="28" t="inlineStr">
        <is>
          <t>Not yet tested</t>
        </is>
      </c>
      <c r="B4" s="28" t="inlineStr">
        <is>
          <t>No trades logged yet</t>
        </is>
      </c>
      <c r="C4" s="28" t="inlineStr">
        <is>
          <t>Paper trade or backtest at least 30 trades</t>
        </is>
      </c>
    </row>
    <row r="5" ht="30" customHeight="1" s="16">
      <c r="A5" s="28" t="inlineStr">
        <is>
          <t>Sample too small (&lt;30 trades)</t>
        </is>
      </c>
      <c r="B5" s="28" t="inlineStr">
        <is>
          <t>Fewer than 30 trades logged</t>
        </is>
      </c>
      <c r="C5" s="28" t="inlineStr">
        <is>
          <t>Keep testing before drawing conclusions</t>
        </is>
      </c>
    </row>
    <row r="6" ht="30" customHeight="1" s="16">
      <c r="A6" s="28" t="inlineStr">
        <is>
          <t>Positive expectancy - shortlist</t>
        </is>
      </c>
      <c r="B6" s="28" t="inlineStr">
        <is>
          <t>30+ trades, Expectancy (R) &gt; 0.1</t>
        </is>
      </c>
      <c r="C6" s="28" t="inlineStr">
        <is>
          <t>Candidate for live small-size trading</t>
        </is>
      </c>
    </row>
    <row r="7" ht="30" customHeight="1" s="16">
      <c r="A7" s="28" t="inlineStr">
        <is>
          <t>Negative expectancy - drop</t>
        </is>
      </c>
      <c r="B7" s="28" t="inlineStr">
        <is>
          <t>30+ trades and Expectancy (R) &lt;= 0</t>
        </is>
      </c>
      <c r="C7" s="28" t="inlineStr">
        <is>
          <t>Consider dropping or reworking the rules</t>
        </is>
      </c>
    </row>
    <row r="8">
      <c r="A8" s="35" t="inlineStr">
        <is>
          <t>Underperforms cash/benchmark - hold</t>
        </is>
      </c>
      <c r="B8" s="35" t="inlineStr">
        <is>
          <t>30+ trades, 0 &lt; Expectancy (R) &lt;= 0.1 -- a proxy for 'positive R but Sharpe &lt;= 0 vs. risk-free' until Sharpe is wired into this tracker directly (Sharpe lives in the engine's output, not this workbook).</t>
        </is>
      </c>
      <c r="C8" s="35" t="inlineStr">
        <is>
          <t>Keep testing / consider a filter or parameter change, not a drop</t>
        </is>
      </c>
    </row>
    <row r="10" ht="30" customHeight="1" s="16">
      <c r="A10" s="29" t="inlineStr">
        <is>
          <t>Once you've logged 30+ trades per strategy on the Day Trading / Swing Trading tabs, sort each tab by Expectancy (R) descending to see your real shortlist. Note: as of 2026-07-18, the engine's own Sharpe/alpha check (see LESSONS.md) is stricter than this workbook's Expectancy-only proxy -- zero strategies have cleared Sharpe &gt; 0.5 and alpha &gt; 0 even when this tab shows them as 'shortlist'. Treat this tab's shortlist as a first pass, not the final word.</t>
        </is>
      </c>
    </row>
  </sheetData>
  <mergeCells count="2">
    <mergeCell ref="A1:C1"/>
    <mergeCell ref="A10:C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26" customWidth="1" style="16" min="1" max="1"/>
    <col width="30" customWidth="1" style="16" min="2" max="2"/>
    <col width="24" customWidth="1" style="16" min="3" max="3"/>
    <col width="9" customWidth="1" style="16" min="4" max="4"/>
    <col width="13" customWidth="1" style="16" min="5" max="5"/>
    <col width="9" customWidth="1" style="16" min="6" max="6"/>
    <col width="9" customWidth="1" style="16" min="7" max="7"/>
    <col width="60" customWidth="1" style="16" min="8" max="8"/>
    <col width="34" customWidth="1" style="16" min="9" max="9"/>
  </cols>
  <sheetData>
    <row r="1">
      <c r="A1" s="36" t="inlineStr">
        <is>
          <t>Experiment History</t>
        </is>
      </c>
    </row>
    <row r="2">
      <c r="A2" s="37" t="inlineStr">
        <is>
          <t>Historical variations already run for core strategies -- different symbol universe, different portfolio capacity, pre-trade filters -- kept here so results aren't lost or silently re-run. The Day Trading / Swing Trading tabs hold each strategy's ONE canonical (registered-default) result; every other configuration that's been tested lives here instead.</t>
        </is>
      </c>
    </row>
    <row r="4">
      <c r="A4" s="38" t="inlineStr">
        <is>
          <t>1. Universe swap: Dow-29 (baseline) vs. Mid-cap 27 names</t>
        </is>
      </c>
    </row>
    <row r="5">
      <c r="A5" s="39" t="inlineStr">
        <is>
          <t>Tests whether 'nothing clears the shortlist bar' is a property of the Dow specifically (most heavily-traded, most-analyzed large caps) rather than of the strategies. Result: mostly worse on mid-caps, never better enough to flip a verdict. Mid-cap universe construction has weaker point-in-time rigor than the Dow list (disclosed in engine/universe.py).</t>
        </is>
      </c>
    </row>
    <row r="6">
      <c r="A6" s="40" t="inlineStr">
        <is>
          <t>Strategy</t>
        </is>
      </c>
      <c r="B6" s="40" t="inlineStr">
        <is>
          <t>Experiment</t>
        </is>
      </c>
      <c r="C6" s="40" t="inlineStr">
        <is>
          <t>Configuration</t>
        </is>
      </c>
      <c r="D6" s="40" t="inlineStr">
        <is>
          <t>Trades</t>
        </is>
      </c>
      <c r="E6" s="40" t="inlineStr">
        <is>
          <t>Expectancy (R)</t>
        </is>
      </c>
      <c r="F6" s="40" t="inlineStr">
        <is>
          <t>Sharpe</t>
        </is>
      </c>
      <c r="G6" s="40" t="inlineStr">
        <is>
          <t>Alpha %</t>
        </is>
      </c>
      <c r="H6" s="40" t="inlineStr">
        <is>
          <t>Notes</t>
        </is>
      </c>
      <c r="I6" s="40" t="inlineStr">
        <is>
          <t>Source (LESSONS.md)</t>
        </is>
      </c>
    </row>
    <row r="7">
      <c r="A7" s="15" t="inlineStr">
        <is>
          <t>Scalping (3-5 min)</t>
        </is>
      </c>
      <c r="B7" s="15" t="inlineStr">
        <is>
          <t>Universe swap</t>
        </is>
      </c>
      <c r="C7" s="15" t="inlineStr">
        <is>
          <t>Dow-29 (baseline)</t>
        </is>
      </c>
      <c r="E7" s="15" t="n">
        <v>-0.2</v>
      </c>
      <c r="F7" s="15" t="n">
        <v>-32.34</v>
      </c>
      <c r="H7" s="15" t="inlineStr"/>
      <c r="I7" s="15" t="inlineStr">
        <is>
          <t>2026-07-17, 'Testing mid-caps instead of the Dow...'</t>
        </is>
      </c>
    </row>
    <row r="8">
      <c r="A8" s="15" t="inlineStr">
        <is>
          <t>Scalping (3-5 min)</t>
        </is>
      </c>
      <c r="B8" s="15" t="inlineStr">
        <is>
          <t>Universe swap</t>
        </is>
      </c>
      <c r="C8" s="15" t="inlineStr">
        <is>
          <t>Mid-cap (27 names)</t>
        </is>
      </c>
      <c r="E8" s="15" t="n">
        <v>-0.391</v>
      </c>
      <c r="F8" s="15" t="n">
        <v>-296.41</v>
      </c>
      <c r="H8" s="15" t="inlineStr">
        <is>
          <t>Dramatically worse -- off-the-charts bad Sharpe</t>
        </is>
      </c>
      <c r="I8" s="15" t="inlineStr">
        <is>
          <t>2026-07-17, 'Testing mid-caps instead of the Dow...'</t>
        </is>
      </c>
    </row>
    <row r="9">
      <c r="A9" s="15" t="inlineStr">
        <is>
          <t>VWAP Bounce / Reversion</t>
        </is>
      </c>
      <c r="B9" s="15" t="inlineStr">
        <is>
          <t>Universe swap</t>
        </is>
      </c>
      <c r="C9" s="15" t="inlineStr">
        <is>
          <t>Dow-29 (baseline)</t>
        </is>
      </c>
      <c r="E9" s="15" t="n">
        <v>-0.108</v>
      </c>
      <c r="F9" s="15" t="n">
        <v>-6.21</v>
      </c>
      <c r="H9" s="15" t="inlineStr"/>
      <c r="I9" s="15" t="inlineStr">
        <is>
          <t>2026-07-17, 'Testing mid-caps instead of the Dow...'</t>
        </is>
      </c>
    </row>
    <row r="10">
      <c r="A10" s="15" t="inlineStr">
        <is>
          <t>VWAP Bounce / Reversion</t>
        </is>
      </c>
      <c r="B10" s="15" t="inlineStr">
        <is>
          <t>Universe swap</t>
        </is>
      </c>
      <c r="C10" s="15" t="inlineStr">
        <is>
          <t>Mid-cap (27 names)</t>
        </is>
      </c>
      <c r="E10" s="15" t="n">
        <v>-0.151</v>
      </c>
      <c r="F10" s="15" t="n">
        <v>-9.67</v>
      </c>
      <c r="H10" s="15" t="inlineStr">
        <is>
          <t>Worse</t>
        </is>
      </c>
      <c r="I10" s="15" t="inlineStr">
        <is>
          <t>2026-07-17, 'Testing mid-caps instead of the Dow...'</t>
        </is>
      </c>
    </row>
    <row r="11">
      <c r="A11" s="15" t="inlineStr">
        <is>
          <t>News Fade</t>
        </is>
      </c>
      <c r="B11" s="15" t="inlineStr">
        <is>
          <t>Universe swap</t>
        </is>
      </c>
      <c r="C11" s="15" t="inlineStr">
        <is>
          <t>Dow-29 (baseline)</t>
        </is>
      </c>
      <c r="E11" s="15" t="n">
        <v>0.049</v>
      </c>
      <c r="F11" s="15" t="n">
        <v>-11.42</v>
      </c>
      <c r="H11" s="15" t="inlineStr"/>
      <c r="I11" s="15" t="inlineStr">
        <is>
          <t>2026-07-17, 'Testing mid-caps instead of the Dow...'</t>
        </is>
      </c>
    </row>
    <row r="12">
      <c r="A12" s="15" t="inlineStr">
        <is>
          <t>News Fade</t>
        </is>
      </c>
      <c r="B12" s="15" t="inlineStr">
        <is>
          <t>Universe swap</t>
        </is>
      </c>
      <c r="C12" s="15" t="inlineStr">
        <is>
          <t>Mid-cap (27 names)</t>
        </is>
      </c>
      <c r="E12" s="15" t="n">
        <v>-0.324</v>
      </c>
      <c r="F12" s="15" t="n">
        <v>-10.87</v>
      </c>
      <c r="H12" s="15" t="inlineStr">
        <is>
          <t>Flipped from positive to negative expectancy</t>
        </is>
      </c>
      <c r="I12" s="15" t="inlineStr">
        <is>
          <t>2026-07-17, 'Testing mid-caps instead of the Dow...'</t>
        </is>
      </c>
    </row>
    <row r="13">
      <c r="A13" s="15" t="inlineStr">
        <is>
          <t>Range Trading</t>
        </is>
      </c>
      <c r="B13" s="15" t="inlineStr">
        <is>
          <t>Universe swap</t>
        </is>
      </c>
      <c r="C13" s="15" t="inlineStr">
        <is>
          <t>Dow-29 (baseline)</t>
        </is>
      </c>
      <c r="E13" s="15" t="n">
        <v>-0.066</v>
      </c>
      <c r="F13" s="15" t="n">
        <v>-3.76</v>
      </c>
      <c r="H13" s="15" t="inlineStr"/>
      <c r="I13" s="15" t="inlineStr">
        <is>
          <t>2026-07-17, 'Testing mid-caps instead of the Dow...'</t>
        </is>
      </c>
    </row>
    <row r="14">
      <c r="A14" s="15" t="inlineStr">
        <is>
          <t>Range Trading</t>
        </is>
      </c>
      <c r="B14" s="15" t="inlineStr">
        <is>
          <t>Universe swap</t>
        </is>
      </c>
      <c r="C14" s="15" t="inlineStr">
        <is>
          <t>Mid-cap (27 names)</t>
        </is>
      </c>
      <c r="E14" s="15" t="n">
        <v>0.029</v>
      </c>
      <c r="F14" s="15" t="n">
        <v>-1.62</v>
      </c>
      <c r="H14" s="15" t="inlineStr">
        <is>
          <t>Flipped positive but Sharpe still deeply negative -- not a real edge</t>
        </is>
      </c>
      <c r="I14" s="15" t="inlineStr">
        <is>
          <t>2026-07-17, 'Testing mid-caps instead of the Dow...'</t>
        </is>
      </c>
    </row>
    <row r="15">
      <c r="A15" s="15" t="inlineStr">
        <is>
          <t>Breakout from Consolidation</t>
        </is>
      </c>
      <c r="B15" s="15" t="inlineStr">
        <is>
          <t>Universe swap</t>
        </is>
      </c>
      <c r="C15" s="15" t="inlineStr">
        <is>
          <t>Dow-29 (baseline)</t>
        </is>
      </c>
      <c r="E15" s="15" t="n">
        <v>0.101</v>
      </c>
      <c r="F15" s="15" t="n">
        <v>-1.81</v>
      </c>
      <c r="H15" s="15" t="inlineStr"/>
      <c r="I15" s="15" t="inlineStr">
        <is>
          <t>2026-07-17, 'Testing mid-caps instead of the Dow...'</t>
        </is>
      </c>
    </row>
    <row r="16">
      <c r="A16" s="15" t="inlineStr">
        <is>
          <t>Breakout from Consolidation</t>
        </is>
      </c>
      <c r="B16" s="15" t="inlineStr">
        <is>
          <t>Universe swap</t>
        </is>
      </c>
      <c r="C16" s="15" t="inlineStr">
        <is>
          <t>Mid-cap (27 names)</t>
        </is>
      </c>
      <c r="E16" s="15" t="n">
        <v>0.145</v>
      </c>
      <c r="F16" s="15" t="n">
        <v>-1.53</v>
      </c>
      <c r="H16" s="15" t="inlineStr">
        <is>
          <t>Marginally better, still fails Sharpe bar</t>
        </is>
      </c>
      <c r="I16" s="15" t="inlineStr">
        <is>
          <t>2026-07-17, 'Testing mid-caps instead of the Dow...'</t>
        </is>
      </c>
    </row>
    <row r="17">
      <c r="A17" s="15" t="inlineStr">
        <is>
          <t>Dual Momentum (cross-sectional)</t>
        </is>
      </c>
      <c r="B17" s="15" t="inlineStr">
        <is>
          <t>Universe swap</t>
        </is>
      </c>
      <c r="C17" s="15" t="inlineStr">
        <is>
          <t>Dow-29 (baseline)</t>
        </is>
      </c>
      <c r="F17" s="15" t="n">
        <v>0.42</v>
      </c>
      <c r="H17" s="15" t="inlineStr">
        <is>
          <t>Closest any strategy has come to the 0.5 Sharpe bar, this whole project</t>
        </is>
      </c>
      <c r="I17" s="15" t="inlineStr">
        <is>
          <t>2026-07-17, 'Testing mid-caps instead of the Dow...'</t>
        </is>
      </c>
    </row>
    <row r="18">
      <c r="A18" s="15" t="inlineStr">
        <is>
          <t>Dual Momentum (cross-sectional)</t>
        </is>
      </c>
      <c r="B18" s="15" t="inlineStr">
        <is>
          <t>Universe swap</t>
        </is>
      </c>
      <c r="C18" s="15" t="inlineStr">
        <is>
          <t>Mid-cap (27 names)</t>
        </is>
      </c>
      <c r="F18" s="15" t="n">
        <v>0.16</v>
      </c>
      <c r="H18" s="15" t="inlineStr">
        <is>
          <t>Worse on mid-caps, not better</t>
        </is>
      </c>
      <c r="I18" s="15" t="inlineStr">
        <is>
          <t>2026-07-17, 'Testing mid-caps instead of the Dow...'</t>
        </is>
      </c>
    </row>
    <row r="19">
      <c r="A19" s="15" t="inlineStr">
        <is>
          <t>Pairs / Stat Arb</t>
        </is>
      </c>
      <c r="B19" s="15" t="inlineStr">
        <is>
          <t>Universe swap</t>
        </is>
      </c>
      <c r="C19" s="15" t="inlineStr">
        <is>
          <t>Dow-29 (baseline)</t>
        </is>
      </c>
      <c r="F19" s="15" t="n">
        <v>-0.86</v>
      </c>
      <c r="H19" s="15" t="inlineStr">
        <is>
          <t>Return -16.8% over the trading window</t>
        </is>
      </c>
      <c r="I19" s="15" t="inlineStr">
        <is>
          <t>2026-07-17, 'Testing mid-caps instead of the Dow...'</t>
        </is>
      </c>
    </row>
    <row r="20">
      <c r="A20" s="15" t="inlineStr">
        <is>
          <t>Pairs / Stat Arb</t>
        </is>
      </c>
      <c r="B20" s="15" t="inlineStr">
        <is>
          <t>Universe swap</t>
        </is>
      </c>
      <c r="C20" s="15" t="inlineStr">
        <is>
          <t>Mid-cap (27 names)</t>
        </is>
      </c>
      <c r="F20" s="15" t="n">
        <v>-0.9399999999999999</v>
      </c>
      <c r="H20" s="15" t="inlineStr">
        <is>
          <t>Return -20.4% -- worse</t>
        </is>
      </c>
      <c r="I20" s="15" t="inlineStr">
        <is>
          <t>2026-07-17, 'Testing mid-caps instead of the Dow...'</t>
        </is>
      </c>
    </row>
    <row r="22">
      <c r="A22" s="39" t="inlineStr">
        <is>
          <t>Conclusion: zero strategies flipped from failing to clearing the Sharpe/alpha shortlist bar on mid-caps. Day-trading strategies were mostly worse (some dramatically); swing strategies were a wash.</t>
        </is>
      </c>
    </row>
    <row r="25">
      <c r="A25" s="38" t="inlineStr">
        <is>
          <t>2. Portfolio capacity sweep (shared capital, 5/10/20/29 concurrent positions, $10K-$100K)</t>
        </is>
      </c>
    </row>
    <row r="26">
      <c r="A26" s="39" t="inlineStr">
        <is>
          <t>Portfolio-level (shared capital across the Dow-29 universe), not the per-symbol backtests in the main tabs -- Sharpe/Return here are portfolio metrics. Tests whether the 5-position default cap was starving strategies of real edge. Several small-sample-trap results included as cited precedent for why a portfolio Sharpe on &lt;10 trades is not trustworthy.</t>
        </is>
      </c>
    </row>
    <row r="27">
      <c r="A27" s="40" t="inlineStr">
        <is>
          <t>Strategy</t>
        </is>
      </c>
      <c r="B27" s="40" t="inlineStr">
        <is>
          <t>Experiment</t>
        </is>
      </c>
      <c r="C27" s="40" t="inlineStr">
        <is>
          <t>Configuration</t>
        </is>
      </c>
      <c r="D27" s="40" t="inlineStr">
        <is>
          <t>Trades</t>
        </is>
      </c>
      <c r="E27" s="40" t="inlineStr">
        <is>
          <t>Expectancy (R)</t>
        </is>
      </c>
      <c r="F27" s="40" t="inlineStr">
        <is>
          <t>Sharpe</t>
        </is>
      </c>
      <c r="G27" s="40" t="inlineStr">
        <is>
          <t>Alpha %</t>
        </is>
      </c>
      <c r="H27" s="40" t="inlineStr">
        <is>
          <t>Notes</t>
        </is>
      </c>
      <c r="I27" s="40" t="inlineStr">
        <is>
          <t>Source (LESSONS.md)</t>
        </is>
      </c>
    </row>
    <row r="28">
      <c r="A28" s="15" t="inlineStr">
        <is>
          <t>Scalping (3-5 min)</t>
        </is>
      </c>
      <c r="B28" s="15" t="inlineStr">
        <is>
          <t>Capacity sweep</t>
        </is>
      </c>
      <c r="C28" s="15" t="inlineStr">
        <is>
          <t>Cap 5 (~10 trades)</t>
        </is>
      </c>
      <c r="D28" s="15" t="n">
        <v>10</v>
      </c>
      <c r="H28" s="15" t="inlineStr">
        <is>
          <t>Portfolio return ~0.0-0.1% at every capacity level tested</t>
        </is>
      </c>
      <c r="I28" s="15" t="inlineStr">
        <is>
          <t>2026-07-16 (cont'd 2 &amp; 3), portfolio sensitivity sweep</t>
        </is>
      </c>
    </row>
    <row r="29">
      <c r="A29" s="15" t="inlineStr">
        <is>
          <t>Scalping (3-5 min)</t>
        </is>
      </c>
      <c r="B29" s="15" t="inlineStr">
        <is>
          <t>Capacity sweep</t>
        </is>
      </c>
      <c r="C29" s="15" t="inlineStr">
        <is>
          <t>Cap 29 (~46 trades)</t>
        </is>
      </c>
      <c r="D29" s="15" t="n">
        <v>46</v>
      </c>
      <c r="H29" s="15" t="inlineStr">
        <is>
          <t>Capacity genuinely isn't the constraint -- flat regardless of capital/slots</t>
        </is>
      </c>
      <c r="I29" s="15" t="inlineStr">
        <is>
          <t>2026-07-16 (cont'd 2 &amp; 3), portfolio sensitivity sweep</t>
        </is>
      </c>
    </row>
    <row r="30">
      <c r="A30" s="15" t="inlineStr">
        <is>
          <t>VWAP Bounce / Reversion</t>
        </is>
      </c>
      <c r="B30" s="15" t="inlineStr">
        <is>
          <t>Capacity sweep</t>
        </is>
      </c>
      <c r="C30" s="15" t="inlineStr">
        <is>
          <t>Cap 5-29</t>
        </is>
      </c>
      <c r="H30" s="15" t="inlineStr">
        <is>
          <t>Portfolio return -0.4% to -0.7% at every capacity level -- flat, no edge to unlock</t>
        </is>
      </c>
      <c r="I30" s="15" t="inlineStr">
        <is>
          <t>2026-07-16 (cont'd 2 &amp; 3), portfolio sensitivity sweep</t>
        </is>
      </c>
    </row>
    <row r="31">
      <c r="A31" s="15" t="inlineStr">
        <is>
          <t>Pullback to 21 EMA</t>
        </is>
      </c>
      <c r="B31" s="15" t="inlineStr">
        <is>
          <t>Capacity sweep</t>
        </is>
      </c>
      <c r="C31" s="15" t="inlineStr">
        <is>
          <t>Cap 5</t>
        </is>
      </c>
      <c r="F31" s="15" t="n">
        <v>-0.25</v>
      </c>
      <c r="H31" s="15" t="inlineStr"/>
      <c r="I31" s="15" t="inlineStr">
        <is>
          <t>2026-07-16 (cont'd 2 &amp; 3), portfolio sensitivity sweep</t>
        </is>
      </c>
    </row>
    <row r="32">
      <c r="A32" s="15" t="inlineStr">
        <is>
          <t>Pullback to 21 EMA</t>
        </is>
      </c>
      <c r="B32" s="15" t="inlineStr">
        <is>
          <t>Capacity sweep</t>
        </is>
      </c>
      <c r="C32" s="15" t="inlineStr">
        <is>
          <t>Cap 10</t>
        </is>
      </c>
      <c r="F32" s="15" t="n">
        <v>0.07000000000000001</v>
      </c>
      <c r="H32" s="15" t="inlineStr">
        <is>
          <t>Best Sharpe in the ENTIRE sweep (all strategies, all levels) -- still far below the 0.5 bar</t>
        </is>
      </c>
      <c r="I32" s="15" t="inlineStr">
        <is>
          <t>2026-07-16 (cont'd 2 &amp; 3), portfolio sensitivity sweep</t>
        </is>
      </c>
    </row>
    <row r="33">
      <c r="A33" s="15" t="inlineStr">
        <is>
          <t>Pullback to 21 EMA</t>
        </is>
      </c>
      <c r="B33" s="15" t="inlineStr">
        <is>
          <t>Capacity sweep</t>
        </is>
      </c>
      <c r="C33" s="15" t="inlineStr">
        <is>
          <t>Cap 20</t>
        </is>
      </c>
      <c r="F33" s="15" t="n">
        <v>-0.55</v>
      </c>
      <c r="H33" s="15" t="inlineStr"/>
      <c r="I33" s="15" t="inlineStr">
        <is>
          <t>2026-07-16 (cont'd 2 &amp; 3), portfolio sensitivity sweep</t>
        </is>
      </c>
    </row>
    <row r="34">
      <c r="A34" s="15" t="inlineStr">
        <is>
          <t>Pullback to 21 EMA</t>
        </is>
      </c>
      <c r="B34" s="15" t="inlineStr">
        <is>
          <t>Capacity sweep</t>
        </is>
      </c>
      <c r="C34" s="15" t="inlineStr">
        <is>
          <t>Cap 29</t>
        </is>
      </c>
      <c r="F34" s="15" t="n">
        <v>-0.92</v>
      </c>
      <c r="H34" s="15" t="inlineStr">
        <is>
          <t>More concurrent positions = more correlated exposure past the local optimum</t>
        </is>
      </c>
      <c r="I34" s="15" t="inlineStr">
        <is>
          <t>2026-07-16 (cont'd 2 &amp; 3), portfolio sensitivity sweep</t>
        </is>
      </c>
    </row>
    <row r="35">
      <c r="A35" s="15" t="inlineStr">
        <is>
          <t>9/21 EMA Crossover</t>
        </is>
      </c>
      <c r="B35" s="15" t="inlineStr">
        <is>
          <t>Capacity sweep</t>
        </is>
      </c>
      <c r="C35" s="15" t="inlineStr">
        <is>
          <t>Cap 5-29</t>
        </is>
      </c>
      <c r="H35" s="15" t="inlineStr">
        <is>
          <t>Same shape as Pullback to 21 EMA (peaks at moderate capacity, degrades beyond it) -- exact per-level Sharpe not individually logged</t>
        </is>
      </c>
      <c r="I35" s="15" t="inlineStr">
        <is>
          <t>2026-07-16 (cont'd 2 &amp; 3), portfolio sensitivity sweep</t>
        </is>
      </c>
    </row>
    <row r="36">
      <c r="A36" s="15" t="inlineStr">
        <is>
          <t>Range Trading</t>
        </is>
      </c>
      <c r="B36" s="15" t="inlineStr">
        <is>
          <t>Capacity sweep</t>
        </is>
      </c>
      <c r="C36" s="15" t="inlineStr">
        <is>
          <t>Cap 5 (32 trades)</t>
        </is>
      </c>
      <c r="D36" s="15" t="n">
        <v>32</v>
      </c>
      <c r="F36" s="15" t="n">
        <v>53.82</v>
      </c>
      <c r="H36" s="15" t="inlineStr">
        <is>
          <t>SMALL-SAMPLE TRAP, not a real result -- see cap 29 row</t>
        </is>
      </c>
      <c r="I36" s="15" t="inlineStr">
        <is>
          <t>2026-07-16 (cont'd 2 &amp; 3), portfolio sensitivity sweep</t>
        </is>
      </c>
    </row>
    <row r="37">
      <c r="A37" s="15" t="inlineStr">
        <is>
          <t>Range Trading</t>
        </is>
      </c>
      <c r="B37" s="15" t="inlineStr">
        <is>
          <t>Capacity sweep</t>
        </is>
      </c>
      <c r="C37" s="15" t="inlineStr">
        <is>
          <t>Cap 29 (347 trades)</t>
        </is>
      </c>
      <c r="D37" s="15" t="n">
        <v>347</v>
      </c>
      <c r="F37" s="15" t="n">
        <v>-5.07</v>
      </c>
      <c r="H37" s="15" t="inlineStr">
        <is>
          <t>Same strategy/window, just more capital acting on its own (negative) signal -- the cap-5 +53.82 Sharpe was noise, not an early edge</t>
        </is>
      </c>
      <c r="I37" s="15" t="inlineStr">
        <is>
          <t>2026-07-16 (cont'd 2 &amp; 3), portfolio sensitivity sweep</t>
        </is>
      </c>
    </row>
    <row r="38">
      <c r="A38" s="15" t="inlineStr">
        <is>
          <t>Mean Reversion Scalp</t>
        </is>
      </c>
      <c r="B38" s="15" t="inlineStr">
        <is>
          <t>Capacity sweep</t>
        </is>
      </c>
      <c r="C38" s="15" t="inlineStr">
        <is>
          <t>Cap 5 (7 trades)</t>
        </is>
      </c>
      <c r="D38" s="15" t="n">
        <v>7</v>
      </c>
      <c r="F38" s="15" t="n">
        <v>51.81</v>
      </c>
      <c r="H38" s="15" t="inlineStr">
        <is>
          <t>SMALL-SAMPLE TRAP, cited precedent -- do not trust</t>
        </is>
      </c>
      <c r="I38" s="15" t="inlineStr">
        <is>
          <t>2026-07-16 (cont'd 2 &amp; 3), portfolio sensitivity sweep</t>
        </is>
      </c>
    </row>
    <row r="39">
      <c r="A39" s="15" t="inlineStr">
        <is>
          <t>Oversold Bounce (RSI&lt;30)</t>
        </is>
      </c>
      <c r="B39" s="15" t="inlineStr">
        <is>
          <t>Capacity sweep</t>
        </is>
      </c>
      <c r="C39" s="15" t="inlineStr">
        <is>
          <t>Cap 5 (9 trades)</t>
        </is>
      </c>
      <c r="D39" s="15" t="n">
        <v>9</v>
      </c>
      <c r="F39" s="15" t="n">
        <v>1.88</v>
      </c>
      <c r="H39" s="15" t="inlineStr">
        <is>
          <t>SMALL-SAMPLE TRAP, cited precedent -- do not trust</t>
        </is>
      </c>
      <c r="I39" s="15" t="inlineStr">
        <is>
          <t>2026-07-16 (cont'd 2 &amp; 3), portfolio sensitivity sweep</t>
        </is>
      </c>
    </row>
    <row r="42">
      <c r="A42" s="38" t="inlineStr">
        <is>
          <t>3. Pre-trade filters: market regime + Minervini Trend Template (unfiltered vs. filtered)</t>
        </is>
      </c>
    </row>
    <row r="43">
      <c r="A43" s="39" t="inlineStr">
        <is>
          <t>Same universe/window/cost model/risk-free rate both ways -- only the filter is the variable (engine/compare_filters.py, logs/filter_comparison.csv). Zero of twelve cleared the Sharpe/alpha shortlist bar with filters on, same as without. Oversold Bounce isn't listed here (went 210 trades to exactly 0 -- the trend template and RSI&lt;30 encode opposing theses, see LESSONS.md).</t>
        </is>
      </c>
    </row>
    <row r="44">
      <c r="A44" s="40" t="inlineStr">
        <is>
          <t>Strategy</t>
        </is>
      </c>
      <c r="B44" s="40" t="inlineStr">
        <is>
          <t>Experiment</t>
        </is>
      </c>
      <c r="C44" s="40" t="inlineStr">
        <is>
          <t>Configuration</t>
        </is>
      </c>
      <c r="D44" s="40" t="inlineStr">
        <is>
          <t>Trades</t>
        </is>
      </c>
      <c r="E44" s="40" t="inlineStr">
        <is>
          <t>Expectancy (R)</t>
        </is>
      </c>
      <c r="F44" s="40" t="inlineStr">
        <is>
          <t>Sharpe</t>
        </is>
      </c>
      <c r="G44" s="40" t="inlineStr">
        <is>
          <t>Alpha %</t>
        </is>
      </c>
      <c r="H44" s="40" t="inlineStr">
        <is>
          <t>Notes</t>
        </is>
      </c>
      <c r="I44" s="40" t="inlineStr">
        <is>
          <t>Source (LESSONS.md)</t>
        </is>
      </c>
    </row>
    <row r="45">
      <c r="A45" s="15" t="inlineStr">
        <is>
          <t>Pullback to 21 EMA</t>
        </is>
      </c>
      <c r="B45" s="15" t="inlineStr">
        <is>
          <t>Pre-filters (regime + trend template)</t>
        </is>
      </c>
      <c r="C45" s="15" t="inlineStr">
        <is>
          <t>Unfiltered</t>
        </is>
      </c>
      <c r="D45" s="15" t="n">
        <v>1120</v>
      </c>
      <c r="E45" s="15" t="n">
        <v>0.0245</v>
      </c>
      <c r="F45" s="15" t="n">
        <v>-1.43</v>
      </c>
      <c r="G45" s="15" t="n">
        <v>-5.94</v>
      </c>
      <c r="H45" s="15" t="inlineStr"/>
      <c r="I45" s="15" t="inlineStr">
        <is>
          <t>2026-07-18, 'Pre-filters (Minervini Trend Template + market regime)...'</t>
        </is>
      </c>
    </row>
    <row r="46">
      <c r="A46" s="15" t="inlineStr">
        <is>
          <t>Pullback to 21 EMA</t>
        </is>
      </c>
      <c r="B46" s="15" t="inlineStr">
        <is>
          <t>Pre-filters (regime + trend template)</t>
        </is>
      </c>
      <c r="C46" s="15" t="inlineStr">
        <is>
          <t>Filtered</t>
        </is>
      </c>
      <c r="D46" s="15" t="n">
        <v>286</v>
      </c>
      <c r="E46" s="15" t="n">
        <v>0.0094</v>
      </c>
      <c r="F46" s="15" t="n">
        <v>-5.36</v>
      </c>
      <c r="G46" s="15" t="n">
        <v>-4.8</v>
      </c>
      <c r="H46" s="15" t="inlineStr"/>
      <c r="I46" s="15" t="inlineStr">
        <is>
          <t>2026-07-18, 'Pre-filters (Minervini Trend Template + market regime)...'</t>
        </is>
      </c>
    </row>
    <row r="47">
      <c r="A47" s="15" t="inlineStr">
        <is>
          <t>Breakout from Consolidation</t>
        </is>
      </c>
      <c r="B47" s="15" t="inlineStr">
        <is>
          <t>Pre-filters (regime + trend template)</t>
        </is>
      </c>
      <c r="C47" s="15" t="inlineStr">
        <is>
          <t>Unfiltered</t>
        </is>
      </c>
      <c r="D47" s="15" t="n">
        <v>387</v>
      </c>
      <c r="E47" s="15" t="n">
        <v>0.1031</v>
      </c>
      <c r="F47" s="15" t="n">
        <v>-1.79</v>
      </c>
      <c r="G47" s="15" t="n">
        <v>-4.16</v>
      </c>
      <c r="H47" s="15" t="inlineStr"/>
      <c r="I47" s="15" t="inlineStr">
        <is>
          <t>2026-07-18, 'Pre-filters (Minervini Trend Template + market regime)...'</t>
        </is>
      </c>
    </row>
    <row r="48">
      <c r="A48" s="15" t="inlineStr">
        <is>
          <t>Breakout from Consolidation</t>
        </is>
      </c>
      <c r="B48" s="15" t="inlineStr">
        <is>
          <t>Pre-filters (regime + trend template)</t>
        </is>
      </c>
      <c r="C48" s="15" t="inlineStr">
        <is>
          <t>Filtered</t>
        </is>
      </c>
      <c r="D48" s="15" t="n">
        <v>97</v>
      </c>
      <c r="E48" s="15" t="n">
        <v>0.0954</v>
      </c>
      <c r="F48" s="15" t="n">
        <v>-80.88</v>
      </c>
      <c r="G48" s="15" t="n">
        <v>-4.13</v>
      </c>
      <c r="H48" s="15" t="inlineStr">
        <is>
          <t>Sharpe -1.79-&gt;-80.88 is an exposure artifact (20.7%-&gt;4.8% time in market), not worse trades -- see LESSONS.md</t>
        </is>
      </c>
      <c r="I48" s="15" t="inlineStr">
        <is>
          <t>2026-07-18, 'Pre-filters (Minervini Trend Template + market regime)...'</t>
        </is>
      </c>
    </row>
    <row r="49">
      <c r="A49" s="15" t="inlineStr">
        <is>
          <t>9/21 EMA Crossover</t>
        </is>
      </c>
      <c r="B49" s="15" t="inlineStr">
        <is>
          <t>Pre-filters (regime + trend template)</t>
        </is>
      </c>
      <c r="C49" s="15" t="inlineStr">
        <is>
          <t>Unfiltered</t>
        </is>
      </c>
      <c r="D49" s="15" t="n">
        <v>692</v>
      </c>
      <c r="E49" s="15" t="n">
        <v>0.0799</v>
      </c>
      <c r="F49" s="15" t="n">
        <v>-1.2</v>
      </c>
      <c r="G49" s="15" t="n">
        <v>-5.48</v>
      </c>
      <c r="H49" s="15" t="inlineStr"/>
      <c r="I49" s="15" t="inlineStr">
        <is>
          <t>2026-07-18, 'Pre-filters (Minervini Trend Template + market regime)...'</t>
        </is>
      </c>
    </row>
    <row r="50">
      <c r="A50" s="15" t="inlineStr">
        <is>
          <t>9/21 EMA Crossover</t>
        </is>
      </c>
      <c r="B50" s="15" t="inlineStr">
        <is>
          <t>Pre-filters (regime + trend template)</t>
        </is>
      </c>
      <c r="C50" s="15" t="inlineStr">
        <is>
          <t>Filtered</t>
        </is>
      </c>
      <c r="D50" s="15" t="n">
        <v>90</v>
      </c>
      <c r="E50" s="15" t="n">
        <v>-0.0525</v>
      </c>
      <c r="F50" s="15" t="n">
        <v>-5.97</v>
      </c>
      <c r="G50" s="15" t="n">
        <v>-4.59</v>
      </c>
      <c r="H50" s="15" t="inlineStr"/>
      <c r="I50" s="15" t="inlineStr">
        <is>
          <t>2026-07-18, 'Pre-filters (Minervini Trend Template + market regime)...'</t>
        </is>
      </c>
    </row>
    <row r="51">
      <c r="A51" s="15" t="inlineStr">
        <is>
          <t>Fibonacci Retracement Entry</t>
        </is>
      </c>
      <c r="B51" s="15" t="inlineStr">
        <is>
          <t>Pre-filters (regime + trend template)</t>
        </is>
      </c>
      <c r="C51" s="15" t="inlineStr">
        <is>
          <t>Unfiltered</t>
        </is>
      </c>
      <c r="D51" s="15" t="n">
        <v>422</v>
      </c>
      <c r="E51" s="15" t="n">
        <v>-0.0443</v>
      </c>
      <c r="F51" s="15" t="n">
        <v>-1.45</v>
      </c>
      <c r="G51" s="15" t="n">
        <v>-6.28</v>
      </c>
      <c r="H51" s="15" t="inlineStr"/>
      <c r="I51" s="15" t="inlineStr">
        <is>
          <t>2026-07-18, 'Pre-filters (Minervini Trend Template + market regime)...'</t>
        </is>
      </c>
    </row>
    <row r="52">
      <c r="A52" s="15" t="inlineStr">
        <is>
          <t>Fibonacci Retracement Entry</t>
        </is>
      </c>
      <c r="B52" s="15" t="inlineStr">
        <is>
          <t>Pre-filters (regime + trend template)</t>
        </is>
      </c>
      <c r="C52" s="15" t="inlineStr">
        <is>
          <t>Filtered</t>
        </is>
      </c>
      <c r="D52" s="15" t="n">
        <v>71</v>
      </c>
      <c r="E52" s="15" t="n">
        <v>-0.0547</v>
      </c>
      <c r="F52" s="15" t="n">
        <v>-4.02</v>
      </c>
      <c r="G52" s="15" t="n">
        <v>-4.14</v>
      </c>
      <c r="H52" s="15" t="inlineStr"/>
      <c r="I52" s="15" t="inlineStr">
        <is>
          <t>2026-07-18, 'Pre-filters (Minervini Trend Template + market regime)...'</t>
        </is>
      </c>
    </row>
    <row r="53">
      <c r="A53" s="15" t="inlineStr">
        <is>
          <t>Earnings Momentum / Gap-Hold</t>
        </is>
      </c>
      <c r="B53" s="15" t="inlineStr">
        <is>
          <t>Pre-filters (regime + trend template)</t>
        </is>
      </c>
      <c r="C53" s="15" t="inlineStr">
        <is>
          <t>Unfiltered</t>
        </is>
      </c>
      <c r="D53" s="15" t="n">
        <v>42</v>
      </c>
      <c r="E53" s="15" t="n">
        <v>0.3807</v>
      </c>
      <c r="F53" s="15" t="n">
        <v>-8.17</v>
      </c>
      <c r="G53" s="15" t="n">
        <v>-3.21</v>
      </c>
      <c r="H53" s="15" t="inlineStr"/>
      <c r="I53" s="15" t="inlineStr">
        <is>
          <t>2026-07-18, 'Pre-filters (Minervini Trend Template + market regime)...'</t>
        </is>
      </c>
    </row>
    <row r="54">
      <c r="A54" s="15" t="inlineStr">
        <is>
          <t>Earnings Momentum / Gap-Hold</t>
        </is>
      </c>
      <c r="B54" s="15" t="inlineStr">
        <is>
          <t>Pre-filters (regime + trend template)</t>
        </is>
      </c>
      <c r="C54" s="15" t="inlineStr">
        <is>
          <t>Filtered</t>
        </is>
      </c>
      <c r="D54" s="15" t="n">
        <v>11</v>
      </c>
      <c r="E54" s="15" t="n">
        <v>0.1926</v>
      </c>
      <c r="F54" s="15" t="n">
        <v>-9.050000000000001</v>
      </c>
      <c r="G54" s="15" t="n">
        <v>-3.59</v>
      </c>
      <c r="H54" s="15" t="inlineStr">
        <is>
          <t>Trade count fell under 30 -- status regressed to Sample too small</t>
        </is>
      </c>
      <c r="I54" s="15" t="inlineStr">
        <is>
          <t>2026-07-18, 'Pre-filters (Minervini Trend Template + market regime)...'</t>
        </is>
      </c>
    </row>
    <row r="55">
      <c r="A55" s="15" t="inlineStr">
        <is>
          <t>Connors Mean Reversion (RSI2)</t>
        </is>
      </c>
      <c r="B55" s="15" t="inlineStr">
        <is>
          <t>Pre-filters (regime + trend template)</t>
        </is>
      </c>
      <c r="C55" s="15" t="inlineStr">
        <is>
          <t>Unfiltered</t>
        </is>
      </c>
      <c r="D55" s="15" t="n">
        <v>845</v>
      </c>
      <c r="E55" s="15" t="n">
        <v>0.042</v>
      </c>
      <c r="F55" s="15" t="n">
        <v>-2.73</v>
      </c>
      <c r="G55" s="15" t="n">
        <v>-3.4</v>
      </c>
      <c r="H55" s="15" t="inlineStr"/>
      <c r="I55" s="15" t="inlineStr">
        <is>
          <t>2026-07-18, 'Pre-filters (Minervini Trend Template + market regime)...'</t>
        </is>
      </c>
    </row>
    <row r="56">
      <c r="A56" s="15" t="inlineStr">
        <is>
          <t>Connors Mean Reversion (RSI2)</t>
        </is>
      </c>
      <c r="B56" s="15" t="inlineStr">
        <is>
          <t>Pre-filters (regime + trend template)</t>
        </is>
      </c>
      <c r="C56" s="15" t="inlineStr">
        <is>
          <t>Filtered</t>
        </is>
      </c>
      <c r="D56" s="15" t="n">
        <v>133</v>
      </c>
      <c r="E56" s="15" t="n">
        <v>0.0538</v>
      </c>
      <c r="F56" s="15" t="n">
        <v>-11.8</v>
      </c>
      <c r="G56" s="15" t="n">
        <v>-3.58</v>
      </c>
      <c r="H56" s="15" t="inlineStr"/>
      <c r="I56" s="15" t="inlineStr">
        <is>
          <t>2026-07-18, 'Pre-filters (Minervini Trend Template + market regime)...'</t>
        </is>
      </c>
    </row>
    <row r="57">
      <c r="A57" s="15" t="inlineStr">
        <is>
          <t>Internal Bar Strength (IBS)</t>
        </is>
      </c>
      <c r="B57" s="15" t="inlineStr">
        <is>
          <t>Pre-filters (regime + trend template)</t>
        </is>
      </c>
      <c r="C57" s="15" t="inlineStr">
        <is>
          <t>Unfiltered</t>
        </is>
      </c>
      <c r="D57" s="15" t="n">
        <v>1638</v>
      </c>
      <c r="E57" s="15" t="n">
        <v>0.0494</v>
      </c>
      <c r="F57" s="15" t="n">
        <v>-0.93</v>
      </c>
      <c r="G57" s="15" t="n">
        <v>-4.34</v>
      </c>
      <c r="H57" s="15" t="inlineStr"/>
      <c r="I57" s="15" t="inlineStr">
        <is>
          <t>2026-07-18, 'Pre-filters (Minervini Trend Template + market regime)...'</t>
        </is>
      </c>
    </row>
    <row r="58">
      <c r="A58" s="15" t="inlineStr">
        <is>
          <t>Internal Bar Strength (IBS)</t>
        </is>
      </c>
      <c r="B58" s="15" t="inlineStr">
        <is>
          <t>Pre-filters (regime + trend template)</t>
        </is>
      </c>
      <c r="C58" s="15" t="inlineStr">
        <is>
          <t>Filtered</t>
        </is>
      </c>
      <c r="D58" s="15" t="n">
        <v>364</v>
      </c>
      <c r="E58" s="15" t="n">
        <v>0.029</v>
      </c>
      <c r="F58" s="15" t="n">
        <v>-18.63</v>
      </c>
      <c r="G58" s="15" t="n">
        <v>-4.11</v>
      </c>
      <c r="H58" s="15" t="inlineStr"/>
      <c r="I58" s="15" t="inlineStr">
        <is>
          <t>2026-07-18, 'Pre-filters (Minervini Trend Template + market regime)...'</t>
        </is>
      </c>
    </row>
    <row r="59">
      <c r="A59" s="15" t="inlineStr">
        <is>
          <t>Gap Fade (daily)</t>
        </is>
      </c>
      <c r="B59" s="15" t="inlineStr">
        <is>
          <t>Pre-filters (regime + trend template)</t>
        </is>
      </c>
      <c r="C59" s="15" t="inlineStr">
        <is>
          <t>Unfiltered</t>
        </is>
      </c>
      <c r="D59" s="15" t="n">
        <v>328</v>
      </c>
      <c r="E59" s="15" t="n">
        <v>-0.1501</v>
      </c>
      <c r="F59" s="15" t="n">
        <v>-2.28</v>
      </c>
      <c r="G59" s="15" t="n">
        <v>-4.18</v>
      </c>
      <c r="H59" s="15" t="inlineStr"/>
      <c r="I59" s="15" t="inlineStr">
        <is>
          <t>2026-07-18, 'Pre-filters (Minervini Trend Template + market regime)...'</t>
        </is>
      </c>
    </row>
    <row r="60">
      <c r="A60" s="15" t="inlineStr">
        <is>
          <t>Gap Fade (daily)</t>
        </is>
      </c>
      <c r="B60" s="15" t="inlineStr">
        <is>
          <t>Pre-filters (regime + trend template)</t>
        </is>
      </c>
      <c r="C60" s="15" t="inlineStr">
        <is>
          <t>Filtered</t>
        </is>
      </c>
      <c r="D60" s="15" t="n">
        <v>164</v>
      </c>
      <c r="E60" s="15" t="n">
        <v>0.3389</v>
      </c>
      <c r="F60" s="15" t="n">
        <v>-4.3</v>
      </c>
      <c r="G60" s="15" t="n">
        <v>-3.7</v>
      </c>
      <c r="H60" s="15" t="inlineStr">
        <is>
          <t>ExpR flips positive but Profit Factor stays &lt;1 (0.871-&gt;0.857) -- still losing money in dollars; believe PF over ExpR</t>
        </is>
      </c>
      <c r="I60" s="15" t="inlineStr">
        <is>
          <t>2026-07-18, 'Pre-filters (Minervini Trend Template + market regime)...'</t>
        </is>
      </c>
    </row>
    <row r="61">
      <c r="A61" s="15" t="inlineStr">
        <is>
          <t>Turnaround Tuesday</t>
        </is>
      </c>
      <c r="B61" s="15" t="inlineStr">
        <is>
          <t>Pre-filters (regime + trend template)</t>
        </is>
      </c>
      <c r="C61" s="15" t="inlineStr">
        <is>
          <t>Unfiltered</t>
        </is>
      </c>
      <c r="D61" s="15" t="n">
        <v>346</v>
      </c>
      <c r="E61" s="15" t="n">
        <v>-0.0341</v>
      </c>
      <c r="F61" s="15" t="n">
        <v>-5.53</v>
      </c>
      <c r="G61" s="15" t="n">
        <v>-4.22</v>
      </c>
      <c r="H61" s="15" t="inlineStr"/>
      <c r="I61" s="15" t="inlineStr">
        <is>
          <t>2026-07-18, 'Pre-filters (Minervini Trend Template + market regime)...'</t>
        </is>
      </c>
    </row>
    <row r="62">
      <c r="A62" s="15" t="inlineStr">
        <is>
          <t>Turnaround Tuesday</t>
        </is>
      </c>
      <c r="B62" s="15" t="inlineStr">
        <is>
          <t>Pre-filters (regime + trend template)</t>
        </is>
      </c>
      <c r="C62" s="15" t="inlineStr">
        <is>
          <t>Filtered</t>
        </is>
      </c>
      <c r="D62" s="15" t="n">
        <v>54</v>
      </c>
      <c r="E62" s="15" t="n">
        <v>0.0259</v>
      </c>
      <c r="F62" s="15" t="n">
        <v>-18.49</v>
      </c>
      <c r="G62" s="15" t="n">
        <v>-3.62</v>
      </c>
      <c r="H62" s="15" t="inlineStr">
        <is>
          <t>Only clean improvement: ExpR AND Profit Factor both moved the same direction (0.81-&gt;1.11)</t>
        </is>
      </c>
      <c r="I62" s="15" t="inlineStr">
        <is>
          <t>2026-07-18, 'Pre-filters (Minervini Trend Template + market regime)...'</t>
        </is>
      </c>
    </row>
    <row r="63">
      <c r="A63" s="15" t="inlineStr">
        <is>
          <t>Sector Rotation Play</t>
        </is>
      </c>
      <c r="B63" s="15" t="inlineStr">
        <is>
          <t>Pre-filters (regime + trend template)</t>
        </is>
      </c>
      <c r="C63" s="15" t="inlineStr">
        <is>
          <t>Unfiltered</t>
        </is>
      </c>
      <c r="D63" s="15" t="n">
        <v>117</v>
      </c>
      <c r="E63" s="15" t="n">
        <v>0.0963</v>
      </c>
      <c r="F63" s="15" t="n">
        <v>-1.83</v>
      </c>
      <c r="G63" s="15" t="n">
        <v>-5.59</v>
      </c>
      <c r="H63" s="15" t="inlineStr"/>
      <c r="I63" s="15" t="inlineStr">
        <is>
          <t>2026-07-18, 'Pre-filters (Minervini Trend Template + market regime)...'</t>
        </is>
      </c>
    </row>
    <row r="64">
      <c r="A64" s="15" t="inlineStr">
        <is>
          <t>Sector Rotation Play</t>
        </is>
      </c>
      <c r="B64" s="15" t="inlineStr">
        <is>
          <t>Pre-filters (regime + trend template)</t>
        </is>
      </c>
      <c r="C64" s="15" t="inlineStr">
        <is>
          <t>Filtered</t>
        </is>
      </c>
      <c r="D64" s="15" t="n">
        <v>24</v>
      </c>
      <c r="E64" s="15" t="n">
        <v>0.1241</v>
      </c>
      <c r="F64" s="15" t="n">
        <v>-4.58</v>
      </c>
      <c r="G64" s="15" t="n">
        <v>-4.07</v>
      </c>
      <c r="H64" s="15" t="inlineStr">
        <is>
          <t>Trade count fell under 30 -- status regressed to Sample too small</t>
        </is>
      </c>
      <c r="I64" s="15" t="inlineStr">
        <is>
          <t>2026-07-18, 'Pre-filters (Minervini Trend Template + market regime)...'</t>
        </is>
      </c>
    </row>
    <row r="65">
      <c r="A65" s="15" t="inlineStr">
        <is>
          <t>Post-Earnings Drift (PEAD)</t>
        </is>
      </c>
      <c r="B65" s="15" t="inlineStr">
        <is>
          <t>Pre-filters (regime + trend template)</t>
        </is>
      </c>
      <c r="C65" s="15" t="inlineStr">
        <is>
          <t>Unfiltered</t>
        </is>
      </c>
      <c r="D65" s="15" t="n">
        <v>141</v>
      </c>
      <c r="E65" s="15" t="n">
        <v>0.1186</v>
      </c>
      <c r="F65" s="15" t="n">
        <v>-2.68</v>
      </c>
      <c r="G65" s="15" t="n">
        <v>-3.84</v>
      </c>
      <c r="H65" s="15" t="inlineStr"/>
      <c r="I65" s="15" t="inlineStr">
        <is>
          <t>2026-07-18, 'Pre-filters (Minervini Trend Template + market regime)...'</t>
        </is>
      </c>
    </row>
    <row r="66">
      <c r="A66" s="15" t="inlineStr">
        <is>
          <t>Post-Earnings Drift (PEAD)</t>
        </is>
      </c>
      <c r="B66" s="15" t="inlineStr">
        <is>
          <t>Pre-filters (regime + trend template)</t>
        </is>
      </c>
      <c r="C66" s="15" t="inlineStr">
        <is>
          <t>Filtered</t>
        </is>
      </c>
      <c r="D66" s="15" t="n">
        <v>39</v>
      </c>
      <c r="E66" s="15" t="n">
        <v>-0.06569999999999999</v>
      </c>
      <c r="F66" s="15" t="n">
        <v>-6.49</v>
      </c>
      <c r="G66" s="15" t="n">
        <v>-3.98</v>
      </c>
      <c r="H66" s="15" t="inlineStr">
        <is>
          <t>Flipped from positive to negative expectancy</t>
        </is>
      </c>
      <c r="I66" s="15" t="inlineStr">
        <is>
          <t>2026-07-18, 'Pre-filters (Minervini Trend Template + market regime)...'</t>
        </is>
      </c>
    </row>
    <row r="67">
      <c r="A67" s="15" t="inlineStr">
        <is>
          <t>Oversold Bounce (RSI&lt;30)</t>
        </is>
      </c>
      <c r="B67" s="15" t="inlineStr">
        <is>
          <t>Pre-filters (regime + trend template)</t>
        </is>
      </c>
      <c r="C67" s="15" t="inlineStr">
        <is>
          <t>Unfiltered</t>
        </is>
      </c>
      <c r="D67" s="15" t="n">
        <v>210</v>
      </c>
      <c r="E67" s="15" t="n">
        <v>0.1688</v>
      </c>
      <c r="F67" s="15" t="n">
        <v>-1.98</v>
      </c>
      <c r="G67" s="15" t="n">
        <v>-3.06</v>
      </c>
      <c r="H67" s="15" t="inlineStr"/>
      <c r="I67" s="15" t="inlineStr">
        <is>
          <t>2026-07-18, 'Pre-filters (Minervini Trend Template + market regime)...'</t>
        </is>
      </c>
    </row>
    <row r="68">
      <c r="A68" s="15" t="inlineStr">
        <is>
          <t>Oversold Bounce (RSI&lt;30)</t>
        </is>
      </c>
      <c r="B68" s="15" t="inlineStr">
        <is>
          <t>Pre-filters (regime + trend template)</t>
        </is>
      </c>
      <c r="C68" s="15" t="inlineStr">
        <is>
          <t>Filtered</t>
        </is>
      </c>
      <c r="D68" s="15" t="n">
        <v>0</v>
      </c>
      <c r="G68" s="15" t="n">
        <v>-3.6</v>
      </c>
      <c r="H68" s="15" t="inlineStr">
        <is>
          <t>Zero trades -- trend template and RSI&lt;30 encode opposing theses (0 of 2,089 template-pass bars also had RSI&lt;30 across sample symbols); not a bug</t>
        </is>
      </c>
      <c r="I68" s="15" t="inlineStr">
        <is>
          <t>2026-07-18, 'Pre-filters (Minervini Trend Template + market regime)...'</t>
        </is>
      </c>
    </row>
    <row r="70">
      <c r="A70" s="39" t="inlineStr">
        <is>
          <t>Conclusion: zero of twelve strategies cleared Sharpe &gt; 0.5 and alpha &gt; 0 with filters on, same as without. Filters change WHICH trades happen -- they did not manufacture an edge that wasn't there.</t>
        </is>
      </c>
    </row>
    <row r="72">
      <c r="A72" s="38" t="inlineStr">
        <is>
          <t>4. Full mid-cap sweep of all 22 strategies (2026-07-19)</t>
        </is>
      </c>
    </row>
    <row r="73">
      <c r="A73" s="39" t="inlineStr">
        <is>
          <t>Completes Section 1: that comparison covered 7 of 22 strategies. This run covers all 22 (every registered strategy except Sector Rotation Play, which is structurally excluded -- see engine/compare_universe.py). Result: zero strategies clear the Sharpe&gt;0.5-and-alpha&gt;0 shortlist bar on mid-cap either, same conclusion as Section 1. Several flip between 'drop' and 'hold' at the margins -- noise around a near-zero threshold, not a real edge appearing. IMPORTANT: Section 1's four intraday day-trading rows (Scalping, VWAP Bounce, News Fade, Range Trading) predate that same day's Alpaca intraday migration (yfinance's ~57-60 day window vs. Alpaca's 730-day window) -- this run's numbers for those four are superseded/updated below, not a contradiction. Daily-bar strategies (Breakout from Consolidation, Dual Momentum, Pairs/Stat Arb) were unaffected by that migration and are not re-listed here; Section 1's numbers for those three still stand and were confirmed close on rerun. Two bugs found and fixed during this run: (1) compare_universe.py had no branch for PEAD or Overnight Hold and crashed mid-sweep -- fixed. (2) engine/metrics.py's _status() skipped its Sharpe/alpha gate whenever alpha was unavailable (not just when both were missing), which mislabeled Overnight Hold 'Positive expectancy - shortlist' on the live dashboard despite a deeply negative Sharpe (engine/overnight.py never computes alpha -- no benchmark in that engine). Fixed to gate on whichever of Sharpe/alpha is present; 260/260 tests still pass; canonical Overnight Hold re-run so the dashboard now shows the correct status. Also: MKSI and MTSI have no usable intraday history (Alpaca IEX gap + yfinance's 60-day fallback cap) -- silently dropped from the day-trading strategies' mid-cap universe (25 effective symbols of 27), disclosed here rather than fixed.</t>
        </is>
      </c>
    </row>
    <row r="75">
      <c r="A75" s="40" t="inlineStr">
        <is>
          <t>Strategy</t>
        </is>
      </c>
      <c r="B75" s="40" t="inlineStr">
        <is>
          <t>Experiment</t>
        </is>
      </c>
      <c r="C75" s="40" t="inlineStr">
        <is>
          <t>Configuration</t>
        </is>
      </c>
      <c r="D75" s="40" t="inlineStr">
        <is>
          <t>Trades</t>
        </is>
      </c>
      <c r="E75" s="40" t="inlineStr">
        <is>
          <t>Expectancy (R)</t>
        </is>
      </c>
      <c r="F75" s="40" t="inlineStr">
        <is>
          <t>Sharpe</t>
        </is>
      </c>
      <c r="G75" s="40" t="inlineStr">
        <is>
          <t>Alpha %</t>
        </is>
      </c>
      <c r="H75" s="40" t="inlineStr">
        <is>
          <t>Notes</t>
        </is>
      </c>
      <c r="I75" s="40" t="inlineStr">
        <is>
          <t>Source (LESSONS.md)</t>
        </is>
      </c>
    </row>
    <row r="76">
      <c r="A76" s="15" t="inlineStr">
        <is>
          <t>Scalping (3-5 min)</t>
        </is>
      </c>
      <c r="B76" s="15" t="inlineStr">
        <is>
          <t>Universe swap</t>
        </is>
      </c>
      <c r="C76" s="15" t="inlineStr">
        <is>
          <t>Mid-cap (27 names, Alpaca 730-day intraday)</t>
        </is>
      </c>
      <c r="D76" s="15" t="n">
        <v>190455</v>
      </c>
      <c r="E76" s="15" t="n">
        <v>-0.3614</v>
      </c>
      <c r="F76" s="15" t="n">
        <v>-41.36</v>
      </c>
      <c r="H76" s="15" t="inlineStr">
        <is>
          <t>Supersedes Section 1's mid-cap row (that row predates the Alpaca migration; still much worse than Dow-29's -0.20/-32.34)</t>
        </is>
      </c>
      <c r="I76" s="15" t="inlineStr">
        <is>
          <t>2026-07-19, full compare_universe.py sweep (22/22 strategies)</t>
        </is>
      </c>
    </row>
    <row r="77">
      <c r="A77" s="15" t="inlineStr">
        <is>
          <t>VWAP Bounce / Reversion</t>
        </is>
      </c>
      <c r="B77" s="15" t="inlineStr">
        <is>
          <t>Universe swap</t>
        </is>
      </c>
      <c r="C77" s="15" t="inlineStr">
        <is>
          <t>Mid-cap (27 names, Alpaca 730-day intraday)</t>
        </is>
      </c>
      <c r="D77" s="15" t="n">
        <v>77495</v>
      </c>
      <c r="E77" s="15" t="n">
        <v>-0.2101</v>
      </c>
      <c r="F77" s="15" t="n">
        <v>-4.67</v>
      </c>
      <c r="H77" s="15" t="inlineStr">
        <is>
          <t>Supersedes Section 1's mid-cap row; still worse than Dow-29's -0.107/-3.52</t>
        </is>
      </c>
      <c r="I77" s="15" t="inlineStr">
        <is>
          <t>2026-07-19, full compare_universe.py sweep (22/22 strategies)</t>
        </is>
      </c>
    </row>
    <row r="78">
      <c r="A78" s="15" t="inlineStr">
        <is>
          <t>News Fade</t>
        </is>
      </c>
      <c r="B78" s="15" t="inlineStr">
        <is>
          <t>Universe swap</t>
        </is>
      </c>
      <c r="C78" s="15" t="inlineStr">
        <is>
          <t>Mid-cap (27 names, Alpaca 730-day intraday)</t>
        </is>
      </c>
      <c r="D78" s="15" t="n">
        <v>618</v>
      </c>
      <c r="E78" s="15" t="n">
        <v>-0.05</v>
      </c>
      <c r="F78" s="15" t="n">
        <v>-4.51</v>
      </c>
      <c r="H78" s="15" t="inlineStr">
        <is>
          <t>Supersedes Section 1's mid-cap row; flips Dow-29's +0.049 (hold) to negative (drop)</t>
        </is>
      </c>
      <c r="I78" s="15" t="inlineStr">
        <is>
          <t>2026-07-19, full compare_universe.py sweep (22/22 strategies)</t>
        </is>
      </c>
    </row>
    <row r="79">
      <c r="A79" s="15" t="inlineStr">
        <is>
          <t>Range Trading</t>
        </is>
      </c>
      <c r="B79" s="15" t="inlineStr">
        <is>
          <t>Universe swap</t>
        </is>
      </c>
      <c r="C79" s="15" t="inlineStr">
        <is>
          <t>Mid-cap (27 names, Alpaca 730-day intraday)</t>
        </is>
      </c>
      <c r="D79" s="15" t="n">
        <v>29579</v>
      </c>
      <c r="E79" s="15" t="n">
        <v>-0.1196</v>
      </c>
      <c r="F79" s="15" t="n">
        <v>-1.45</v>
      </c>
      <c r="H79" s="15" t="inlineStr">
        <is>
          <t>Supersedes Section 1's mid-cap row; still worse than Dow-29's -0.066/-3.76</t>
        </is>
      </c>
      <c r="I79" s="15" t="inlineStr">
        <is>
          <t>2026-07-19, full compare_universe.py sweep (22/22 strategies)</t>
        </is>
      </c>
    </row>
    <row r="80">
      <c r="A80" s="15" t="inlineStr">
        <is>
          <t>Opening Range Breakout (ORB)</t>
        </is>
      </c>
      <c r="B80" s="15" t="inlineStr">
        <is>
          <t>Universe swap</t>
        </is>
      </c>
      <c r="C80" s="15" t="inlineStr">
        <is>
          <t>Dow-29 (baseline)</t>
        </is>
      </c>
      <c r="D80" s="15" t="n">
        <v>6121</v>
      </c>
      <c r="E80" s="15" t="n">
        <v>-0.0119</v>
      </c>
      <c r="F80" s="15" t="n">
        <v>-0.51</v>
      </c>
      <c r="H80" s="15" t="n"/>
      <c r="I80" s="15" t="inlineStr">
        <is>
          <t>2026-07-19, full compare_universe.py sweep (22/22 strategies)</t>
        </is>
      </c>
    </row>
    <row r="81">
      <c r="A81" s="15" t="inlineStr">
        <is>
          <t>Opening Range Breakout (ORB)</t>
        </is>
      </c>
      <c r="B81" s="15" t="inlineStr">
        <is>
          <t>Universe swap</t>
        </is>
      </c>
      <c r="C81" s="15" t="inlineStr">
        <is>
          <t>Mid-cap (27 names)</t>
        </is>
      </c>
      <c r="D81" s="15" t="n">
        <v>9293</v>
      </c>
      <c r="E81" s="15" t="n">
        <v>-0.0731</v>
      </c>
      <c r="F81" s="15" t="n">
        <v>-1.03</v>
      </c>
      <c r="H81" s="15" t="inlineStr">
        <is>
          <t>Worse on mid-cap</t>
        </is>
      </c>
      <c r="I81" s="15" t="inlineStr">
        <is>
          <t>2026-07-19, full compare_universe.py sweep (22/22 strategies)</t>
        </is>
      </c>
    </row>
    <row r="82">
      <c r="A82" s="15" t="inlineStr">
        <is>
          <t>Momentum / Gap and Go</t>
        </is>
      </c>
      <c r="B82" s="15" t="inlineStr">
        <is>
          <t>Universe swap</t>
        </is>
      </c>
      <c r="C82" s="15" t="inlineStr">
        <is>
          <t>Dow-29 (baseline)</t>
        </is>
      </c>
      <c r="D82" s="15" t="n">
        <v>8</v>
      </c>
      <c r="E82" s="15" t="n">
        <v>0.0155</v>
      </c>
      <c r="F82" s="15" t="n">
        <v>-2.82</v>
      </c>
      <c r="H82" s="15" t="n"/>
      <c r="I82" s="15" t="inlineStr">
        <is>
          <t>2026-07-19, full compare_universe.py sweep (22/22 strategies)</t>
        </is>
      </c>
    </row>
    <row r="83">
      <c r="A83" s="15" t="inlineStr">
        <is>
          <t>Momentum / Gap and Go</t>
        </is>
      </c>
      <c r="B83" s="15" t="inlineStr">
        <is>
          <t>Universe swap</t>
        </is>
      </c>
      <c r="C83" s="15" t="inlineStr">
        <is>
          <t>Mid-cap (27 names)</t>
        </is>
      </c>
      <c r="D83" s="15" t="n">
        <v>535</v>
      </c>
      <c r="E83" s="15" t="n">
        <v>0.0383</v>
      </c>
      <c r="F83" s="15" t="n">
        <v>-1.71</v>
      </c>
      <c r="H83" s="15" t="inlineStr">
        <is>
          <t>Dow-29 sample too small to judge (8 trades); mid-cap gives the first real sample (535 trades) -- still no edge, ExpR below the 0.1R shortlist proxy and Sharpe deeply negative</t>
        </is>
      </c>
      <c r="I83" s="15" t="inlineStr">
        <is>
          <t>2026-07-19, full compare_universe.py sweep (22/22 strategies)</t>
        </is>
      </c>
    </row>
    <row r="84">
      <c r="A84" s="15" t="inlineStr">
        <is>
          <t>Mean Reversion Scalp</t>
        </is>
      </c>
      <c r="B84" s="15" t="inlineStr">
        <is>
          <t>Universe swap</t>
        </is>
      </c>
      <c r="C84" s="15" t="inlineStr">
        <is>
          <t>Dow-29 (baseline)</t>
        </is>
      </c>
      <c r="D84" s="15" t="n">
        <v>419</v>
      </c>
      <c r="E84" s="15" t="n">
        <v>-0.1021</v>
      </c>
      <c r="F84" s="15" t="n">
        <v>-2.09</v>
      </c>
      <c r="H84" s="15" t="n"/>
      <c r="I84" s="15" t="inlineStr">
        <is>
          <t>2026-07-19, full compare_universe.py sweep (22/22 strategies)</t>
        </is>
      </c>
    </row>
    <row r="85">
      <c r="A85" s="15" t="inlineStr">
        <is>
          <t>Mean Reversion Scalp</t>
        </is>
      </c>
      <c r="B85" s="15" t="inlineStr">
        <is>
          <t>Universe swap</t>
        </is>
      </c>
      <c r="C85" s="15" t="inlineStr">
        <is>
          <t>Mid-cap (27 names)</t>
        </is>
      </c>
      <c r="D85" s="15" t="n">
        <v>9448</v>
      </c>
      <c r="E85" s="15" t="n">
        <v>-0.2253</v>
      </c>
      <c r="F85" s="15" t="n">
        <v>-1.71</v>
      </c>
      <c r="H85" s="15" t="inlineStr">
        <is>
          <t>Worse on mid-cap</t>
        </is>
      </c>
      <c r="I85" s="15" t="inlineStr">
        <is>
          <t>2026-07-19, full compare_universe.py sweep (22/22 strategies)</t>
        </is>
      </c>
    </row>
    <row r="86">
      <c r="A86" s="15" t="inlineStr">
        <is>
          <t>Pullback to 21 EMA</t>
        </is>
      </c>
      <c r="B86" s="15" t="inlineStr">
        <is>
          <t>Universe swap</t>
        </is>
      </c>
      <c r="C86" s="15" t="inlineStr">
        <is>
          <t>Dow-29 (baseline)</t>
        </is>
      </c>
      <c r="D86" s="15" t="n">
        <v>1120</v>
      </c>
      <c r="E86" s="15" t="n">
        <v>0.0245</v>
      </c>
      <c r="F86" s="15" t="n">
        <v>-1.43</v>
      </c>
      <c r="H86" s="15" t="n"/>
      <c r="I86" s="15" t="inlineStr">
        <is>
          <t>2026-07-19, full compare_universe.py sweep (22/22 strategies)</t>
        </is>
      </c>
    </row>
    <row r="87">
      <c r="A87" s="15" t="inlineStr">
        <is>
          <t>Pullback to 21 EMA</t>
        </is>
      </c>
      <c r="B87" s="15" t="inlineStr">
        <is>
          <t>Universe swap</t>
        </is>
      </c>
      <c r="C87" s="15" t="inlineStr">
        <is>
          <t>Mid-cap (27 names)</t>
        </is>
      </c>
      <c r="D87" s="15" t="n">
        <v>1168</v>
      </c>
      <c r="E87" s="15" t="n">
        <v>0.0165</v>
      </c>
      <c r="F87" s="15" t="n">
        <v>-1.27</v>
      </c>
      <c r="H87" s="15" t="inlineStr">
        <is>
          <t>Slightly worse on mid-cap</t>
        </is>
      </c>
      <c r="I87" s="15" t="inlineStr">
        <is>
          <t>2026-07-19, full compare_universe.py sweep (22/22 strategies)</t>
        </is>
      </c>
    </row>
    <row r="88">
      <c r="A88" s="15" t="inlineStr">
        <is>
          <t>9/21 EMA Crossover</t>
        </is>
      </c>
      <c r="B88" s="15" t="inlineStr">
        <is>
          <t>Universe swap</t>
        </is>
      </c>
      <c r="C88" s="15" t="inlineStr">
        <is>
          <t>Dow-29 (baseline)</t>
        </is>
      </c>
      <c r="D88" s="15" t="n">
        <v>694</v>
      </c>
      <c r="E88" s="15" t="n">
        <v>0.0895</v>
      </c>
      <c r="F88" s="15" t="n">
        <v>-1.18</v>
      </c>
      <c r="H88" s="15" t="n"/>
      <c r="I88" s="15" t="inlineStr">
        <is>
          <t>2026-07-19, full compare_universe.py sweep (22/22 strategies)</t>
        </is>
      </c>
    </row>
    <row r="89">
      <c r="A89" s="15" t="inlineStr">
        <is>
          <t>9/21 EMA Crossover</t>
        </is>
      </c>
      <c r="B89" s="15" t="inlineStr">
        <is>
          <t>Universe swap</t>
        </is>
      </c>
      <c r="C89" s="15" t="inlineStr">
        <is>
          <t>Mid-cap (27 names)</t>
        </is>
      </c>
      <c r="D89" s="15" t="n">
        <v>643</v>
      </c>
      <c r="E89" s="15" t="n">
        <v>0.0687</v>
      </c>
      <c r="F89" s="15" t="n">
        <v>-1.15</v>
      </c>
      <c r="H89" s="15" t="inlineStr">
        <is>
          <t>Slightly worse on mid-cap</t>
        </is>
      </c>
      <c r="I89" s="15" t="inlineStr">
        <is>
          <t>2026-07-19, full compare_universe.py sweep (22/22 strategies)</t>
        </is>
      </c>
    </row>
    <row r="90">
      <c r="A90" s="15" t="inlineStr">
        <is>
          <t>Oversold Bounce (RSI&lt;30)</t>
        </is>
      </c>
      <c r="B90" s="15" t="inlineStr">
        <is>
          <t>Universe swap</t>
        </is>
      </c>
      <c r="C90" s="15" t="inlineStr">
        <is>
          <t>Dow-29 (baseline)</t>
        </is>
      </c>
      <c r="D90" s="15" t="n">
        <v>208</v>
      </c>
      <c r="E90" s="15" t="n">
        <v>0.1793</v>
      </c>
      <c r="F90" s="15" t="n">
        <v>-1.97</v>
      </c>
      <c r="H90" s="15" t="n"/>
      <c r="I90" s="15" t="inlineStr">
        <is>
          <t>2026-07-19, full compare_universe.py sweep (22/22 strategies)</t>
        </is>
      </c>
    </row>
    <row r="91">
      <c r="A91" s="15" t="inlineStr">
        <is>
          <t>Oversold Bounce (RSI&lt;30)</t>
        </is>
      </c>
      <c r="B91" s="15" t="inlineStr">
        <is>
          <t>Universe swap</t>
        </is>
      </c>
      <c r="C91" s="15" t="inlineStr">
        <is>
          <t>Mid-cap (27 names)</t>
        </is>
      </c>
      <c r="D91" s="15" t="n">
        <v>174</v>
      </c>
      <c r="E91" s="15" t="n">
        <v>0.2836</v>
      </c>
      <c r="F91" s="15" t="n">
        <v>-2.11</v>
      </c>
      <c r="H91" s="15" t="inlineStr">
        <is>
          <t>Better ExpR on mid-cap, Sharpe still deeply negative -- not a real edge</t>
        </is>
      </c>
      <c r="I91" s="15" t="inlineStr">
        <is>
          <t>2026-07-19, full compare_universe.py sweep (22/22 strategies)</t>
        </is>
      </c>
    </row>
    <row r="92">
      <c r="A92" s="15" t="inlineStr">
        <is>
          <t>Fibonacci Retracement Entry</t>
        </is>
      </c>
      <c r="B92" s="15" t="inlineStr">
        <is>
          <t>Universe swap</t>
        </is>
      </c>
      <c r="C92" s="15" t="inlineStr">
        <is>
          <t>Dow-29 (baseline)</t>
        </is>
      </c>
      <c r="D92" s="15" t="n">
        <v>421</v>
      </c>
      <c r="E92" s="15" t="n">
        <v>-0.0454</v>
      </c>
      <c r="F92" s="15" t="n">
        <v>-1.45</v>
      </c>
      <c r="H92" s="15" t="n"/>
      <c r="I92" s="15" t="inlineStr">
        <is>
          <t>2026-07-19, full compare_universe.py sweep (22/22 strategies)</t>
        </is>
      </c>
    </row>
    <row r="93">
      <c r="A93" s="15" t="inlineStr">
        <is>
          <t>Fibonacci Retracement Entry</t>
        </is>
      </c>
      <c r="B93" s="15" t="inlineStr">
        <is>
          <t>Universe swap</t>
        </is>
      </c>
      <c r="C93" s="15" t="inlineStr">
        <is>
          <t>Mid-cap (27 names)</t>
        </is>
      </c>
      <c r="D93" s="15" t="n">
        <v>522</v>
      </c>
      <c r="E93" s="15" t="n">
        <v>0.0808</v>
      </c>
      <c r="F93" s="15" t="n">
        <v>-1.01</v>
      </c>
      <c r="H93" s="15" t="inlineStr">
        <is>
          <t>Flips Dow-29's negative expectancy (drop) to positive (hold) on mid-cap</t>
        </is>
      </c>
      <c r="I93" s="15" t="inlineStr">
        <is>
          <t>2026-07-19, full compare_universe.py sweep (22/22 strategies)</t>
        </is>
      </c>
    </row>
    <row r="94">
      <c r="A94" s="15" t="inlineStr">
        <is>
          <t>Earnings Momentum / Gap-Hold</t>
        </is>
      </c>
      <c r="B94" s="15" t="inlineStr">
        <is>
          <t>Universe swap</t>
        </is>
      </c>
      <c r="C94" s="15" t="inlineStr">
        <is>
          <t>Dow-29 (baseline)</t>
        </is>
      </c>
      <c r="D94" s="15" t="n">
        <v>42</v>
      </c>
      <c r="E94" s="15" t="n">
        <v>0.3807</v>
      </c>
      <c r="F94" s="15" t="n">
        <v>-8.16</v>
      </c>
      <c r="H94" s="15" t="n"/>
      <c r="I94" s="15" t="inlineStr">
        <is>
          <t>2026-07-19, full compare_universe.py sweep (22/22 strategies)</t>
        </is>
      </c>
    </row>
    <row r="95">
      <c r="A95" s="15" t="inlineStr">
        <is>
          <t>Earnings Momentum / Gap-Hold</t>
        </is>
      </c>
      <c r="B95" s="15" t="inlineStr">
        <is>
          <t>Universe swap</t>
        </is>
      </c>
      <c r="C95" s="15" t="inlineStr">
        <is>
          <t>Mid-cap (27 names)</t>
        </is>
      </c>
      <c r="D95" s="15" t="n">
        <v>42</v>
      </c>
      <c r="E95" s="15" t="n">
        <v>-0.06859999999999999</v>
      </c>
      <c r="F95" s="15" t="n">
        <v>-9.640000000000001</v>
      </c>
      <c r="H95" s="15" t="inlineStr">
        <is>
          <t>Flips Dow-29's positive (hold, but only 42 trades -- barely over the 30-trade minimum) to negative (drop) on mid-cap</t>
        </is>
      </c>
      <c r="I95" s="15" t="inlineStr">
        <is>
          <t>2026-07-19, full compare_universe.py sweep (22/22 strategies)</t>
        </is>
      </c>
    </row>
    <row r="96">
      <c r="A96" s="15" t="inlineStr">
        <is>
          <t>Connors Mean Reversion (RSI2)</t>
        </is>
      </c>
      <c r="B96" s="15" t="inlineStr">
        <is>
          <t>Universe swap</t>
        </is>
      </c>
      <c r="C96" s="15" t="inlineStr">
        <is>
          <t>Dow-29 (baseline)</t>
        </is>
      </c>
      <c r="D96" s="15" t="n">
        <v>843</v>
      </c>
      <c r="E96" s="15" t="n">
        <v>0.0405</v>
      </c>
      <c r="F96" s="15" t="n">
        <v>-2.74</v>
      </c>
      <c r="H96" s="15" t="n"/>
      <c r="I96" s="15" t="inlineStr">
        <is>
          <t>2026-07-19, full compare_universe.py sweep (22/22 strategies)</t>
        </is>
      </c>
    </row>
    <row r="97">
      <c r="A97" s="15" t="inlineStr">
        <is>
          <t>Connors Mean Reversion (RSI2)</t>
        </is>
      </c>
      <c r="B97" s="15" t="inlineStr">
        <is>
          <t>Universe swap</t>
        </is>
      </c>
      <c r="C97" s="15" t="inlineStr">
        <is>
          <t>Mid-cap (27 names)</t>
        </is>
      </c>
      <c r="D97" s="15" t="n">
        <v>752</v>
      </c>
      <c r="E97" s="15" t="n">
        <v>0.0296</v>
      </c>
      <c r="F97" s="15" t="n">
        <v>-2.76</v>
      </c>
      <c r="H97" s="15" t="inlineStr">
        <is>
          <t>Slightly worse on mid-cap</t>
        </is>
      </c>
      <c r="I97" s="15" t="inlineStr">
        <is>
          <t>2026-07-19, full compare_universe.py sweep (22/22 strategies)</t>
        </is>
      </c>
    </row>
    <row r="98">
      <c r="A98" s="15" t="inlineStr">
        <is>
          <t>Internal Bar Strength (IBS)</t>
        </is>
      </c>
      <c r="B98" s="15" t="inlineStr">
        <is>
          <t>Universe swap</t>
        </is>
      </c>
      <c r="C98" s="15" t="inlineStr">
        <is>
          <t>Dow-29 (baseline)</t>
        </is>
      </c>
      <c r="D98" s="15" t="n">
        <v>1640</v>
      </c>
      <c r="E98" s="15" t="n">
        <v>0.0487</v>
      </c>
      <c r="F98" s="15" t="n">
        <v>-0.93</v>
      </c>
      <c r="H98" s="15" t="n"/>
      <c r="I98" s="15" t="inlineStr">
        <is>
          <t>2026-07-19, full compare_universe.py sweep (22/22 strategies)</t>
        </is>
      </c>
    </row>
    <row r="99">
      <c r="A99" s="15" t="inlineStr">
        <is>
          <t>Internal Bar Strength (IBS)</t>
        </is>
      </c>
      <c r="B99" s="15" t="inlineStr">
        <is>
          <t>Universe swap</t>
        </is>
      </c>
      <c r="C99" s="15" t="inlineStr">
        <is>
          <t>Mid-cap (27 names)</t>
        </is>
      </c>
      <c r="D99" s="15" t="n">
        <v>1606</v>
      </c>
      <c r="E99" s="15" t="n">
        <v>0.0308</v>
      </c>
      <c r="F99" s="15" t="n">
        <v>-0.98</v>
      </c>
      <c r="H99" s="15" t="inlineStr">
        <is>
          <t>Slightly worse on mid-cap</t>
        </is>
      </c>
      <c r="I99" s="15" t="inlineStr">
        <is>
          <t>2026-07-19, full compare_universe.py sweep (22/22 strategies)</t>
        </is>
      </c>
    </row>
    <row r="100">
      <c r="A100" s="15" t="inlineStr">
        <is>
          <t>Gap Fade (daily)</t>
        </is>
      </c>
      <c r="B100" s="15" t="inlineStr">
        <is>
          <t>Universe swap</t>
        </is>
      </c>
      <c r="C100" s="15" t="inlineStr">
        <is>
          <t>Dow-29 (baseline)</t>
        </is>
      </c>
      <c r="D100" s="15" t="n">
        <v>328</v>
      </c>
      <c r="E100" s="15" t="n">
        <v>-0.15</v>
      </c>
      <c r="F100" s="15" t="n">
        <v>-2.28</v>
      </c>
      <c r="H100" s="15" t="n"/>
      <c r="I100" s="15" t="inlineStr">
        <is>
          <t>2026-07-19, full compare_universe.py sweep (22/22 strategies)</t>
        </is>
      </c>
    </row>
    <row r="101">
      <c r="A101" s="15" t="inlineStr">
        <is>
          <t>Gap Fade (daily)</t>
        </is>
      </c>
      <c r="B101" s="15" t="inlineStr">
        <is>
          <t>Universe swap</t>
        </is>
      </c>
      <c r="C101" s="15" t="inlineStr">
        <is>
          <t>Mid-cap (27 names)</t>
        </is>
      </c>
      <c r="D101" s="15" t="n">
        <v>176</v>
      </c>
      <c r="E101" s="15" t="n">
        <v>-0.5335</v>
      </c>
      <c r="F101" s="15" t="n">
        <v>-31.54</v>
      </c>
      <c r="H101" s="15" t="inlineStr">
        <is>
          <t>Much worse on mid-cap</t>
        </is>
      </c>
      <c r="I101" s="15" t="inlineStr">
        <is>
          <t>2026-07-19, full compare_universe.py sweep (22/22 strategies)</t>
        </is>
      </c>
    </row>
    <row r="102">
      <c r="A102" s="15" t="inlineStr">
        <is>
          <t>Turnaround Tuesday</t>
        </is>
      </c>
      <c r="B102" s="15" t="inlineStr">
        <is>
          <t>Universe swap</t>
        </is>
      </c>
      <c r="C102" s="15" t="inlineStr">
        <is>
          <t>Dow-29 (baseline)</t>
        </is>
      </c>
      <c r="D102" s="15" t="n">
        <v>346</v>
      </c>
      <c r="E102" s="15" t="n">
        <v>-0.0341</v>
      </c>
      <c r="F102" s="15" t="n">
        <v>-5.52</v>
      </c>
      <c r="H102" s="15" t="n"/>
      <c r="I102" s="15" t="inlineStr">
        <is>
          <t>2026-07-19, full compare_universe.py sweep (22/22 strategies)</t>
        </is>
      </c>
    </row>
    <row r="103">
      <c r="A103" s="15" t="inlineStr">
        <is>
          <t>Turnaround Tuesday</t>
        </is>
      </c>
      <c r="B103" s="15" t="inlineStr">
        <is>
          <t>Universe swap</t>
        </is>
      </c>
      <c r="C103" s="15" t="inlineStr">
        <is>
          <t>Mid-cap (27 names)</t>
        </is>
      </c>
      <c r="D103" s="15" t="n">
        <v>284</v>
      </c>
      <c r="E103" s="15" t="n">
        <v>0.0077</v>
      </c>
      <c r="F103" s="15" t="n">
        <v>-4.61</v>
      </c>
      <c r="H103" s="15" t="inlineStr">
        <is>
          <t>Flips Dow-29's negative (drop) to barely-positive (hold) on mid-cap -- ExpR near zero either way</t>
        </is>
      </c>
      <c r="I103" s="15" t="inlineStr">
        <is>
          <t>2026-07-19, full compare_universe.py sweep (22/22 strategies)</t>
        </is>
      </c>
    </row>
    <row r="104">
      <c r="A104" s="15" t="inlineStr">
        <is>
          <t>Overnight Hold</t>
        </is>
      </c>
      <c r="B104" s="15" t="inlineStr">
        <is>
          <t>Universe swap</t>
        </is>
      </c>
      <c r="C104" s="15" t="inlineStr">
        <is>
          <t>Dow-29 (baseline)</t>
        </is>
      </c>
      <c r="D104" s="15" t="n">
        <v>28122</v>
      </c>
      <c r="E104" s="15" t="n">
        <v>0.0124</v>
      </c>
      <c r="F104" s="15" t="n">
        <v>-0.66</v>
      </c>
      <c r="H104" s="15" t="n"/>
      <c r="I104" s="15" t="inlineStr">
        <is>
          <t>2026-07-19, full compare_universe.py sweep (22/22 strategies)</t>
        </is>
      </c>
    </row>
    <row r="105">
      <c r="A105" s="15" t="inlineStr">
        <is>
          <t>Overnight Hold</t>
        </is>
      </c>
      <c r="B105" s="15" t="inlineStr">
        <is>
          <t>Universe swap</t>
        </is>
      </c>
      <c r="C105" s="15" t="inlineStr">
        <is>
          <t>Mid-cap (27 names)</t>
        </is>
      </c>
      <c r="D105" s="15" t="n">
        <v>17420</v>
      </c>
      <c r="E105" s="15" t="n">
        <v>0.0142</v>
      </c>
      <c r="F105" s="15" t="n">
        <v>-0.68</v>
      </c>
      <c r="H105" s="15" t="inlineStr">
        <is>
          <t>Dow-29 baseline here is the strategy's registered-default universe (ETFs + Dow-29, 41 symbols), not a pure Dow-29 run -- see the Day Trading/Swing Trading tab's Overnight Hold note for the separate Dow-29-only null control. Both universes land in the same 'hold' bucket. Dow-29 baseline figures re-run after the _status() bug fix (see Section 4 intro).</t>
        </is>
      </c>
      <c r="I105" s="15" t="inlineStr">
        <is>
          <t>2026-07-19, full compare_universe.py sweep (22/22 strategies)</t>
        </is>
      </c>
    </row>
    <row r="106">
      <c r="A106" s="15" t="inlineStr">
        <is>
          <t>Pivot-Level ETF Reversal</t>
        </is>
      </c>
      <c r="B106" s="15" t="inlineStr">
        <is>
          <t>Universe swap</t>
        </is>
      </c>
      <c r="C106" s="15" t="inlineStr">
        <is>
          <t>Mid-cap (27 names) -- no Dow-29 baseline logged</t>
        </is>
      </c>
      <c r="D106" s="15" t="n">
        <v>8268</v>
      </c>
      <c r="E106" s="15" t="n">
        <v>-0.0321</v>
      </c>
      <c r="F106" s="15" t="n">
        <v>-0.74</v>
      </c>
      <c r="H106" s="15" t="inlineStr">
        <is>
          <t>First-ever backtest result for this strategy; never run on Dow-29</t>
        </is>
      </c>
      <c r="I106" s="15" t="inlineStr">
        <is>
          <t>2026-07-19, full compare_universe.py sweep (22/22 strategies)</t>
        </is>
      </c>
    </row>
    <row r="107">
      <c r="A107" s="15" t="inlineStr">
        <is>
          <t>Post-Earnings Drift (PEAD)</t>
        </is>
      </c>
      <c r="B107" s="15" t="inlineStr">
        <is>
          <t>Universe swap</t>
        </is>
      </c>
      <c r="C107" s="15" t="inlineStr">
        <is>
          <t>Mid-cap (27 names) -- no Dow-29 baseline logged</t>
        </is>
      </c>
      <c r="D107" s="15" t="n">
        <v>139</v>
      </c>
      <c r="E107" s="15" t="n">
        <v>0.0197</v>
      </c>
      <c r="F107" s="15" t="n">
        <v>-3.16</v>
      </c>
      <c r="G107" s="15" t="n">
        <v>-4.35</v>
      </c>
      <c r="H107" s="15" t="inlineStr">
        <is>
          <t>First-ever backtest result for this strategy; never run on Dow-29</t>
        </is>
      </c>
      <c r="I107" s="15" t="inlineStr">
        <is>
          <t>2026-07-19, full compare_universe.py sweep (22/22 strategies)</t>
        </is>
      </c>
    </row>
    <row r="109">
      <c r="A109" s="39" t="inlineStr">
        <is>
          <t>Conclusion: zero of 22 strategies clear Sharpe &gt; 0.5 and alpha &gt; 0 on mid-cap, same as Dow-29 (see Section 1). Several strategies flip between 'drop' and 'hold' at the margins in both directions -- not a consistent universe effect, just noise around a near-zero threshold. Two engine strategies (Pivot-Level ETF Reversal, PEAD) now have their first-ever logged backtest result, on mid-cap only.</t>
        </is>
      </c>
    </row>
  </sheetData>
  <mergeCells count="5">
    <mergeCell ref="A43:I43"/>
    <mergeCell ref="A5:I5"/>
    <mergeCell ref="A70:I70"/>
    <mergeCell ref="A22:I22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2026-07-16T14:50:08Z</dcterms:created>
  <dcterms:modified xmlns:dcterms="http://purl.org/dc/terms/" xmlns:xsi="http://www.w3.org/2001/XMLSchema-instance" xsi:type="dcterms:W3CDTF">2026-07-19T16:09:40Z</dcterms:modified>
  <cp:revision>0</cp:revision>
</cp:coreProperties>
</file>